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CNS\"/>
    </mc:Choice>
  </mc:AlternateContent>
  <xr:revisionPtr revIDLastSave="0" documentId="8_{1E4DC9CE-62D0-42AC-A5B4-A6ABE50C8F6A}" xr6:coauthVersionLast="47" xr6:coauthVersionMax="47" xr10:uidLastSave="{00000000-0000-0000-0000-000000000000}"/>
  <bookViews>
    <workbookView xWindow="-108" yWindow="-108" windowWidth="23256" windowHeight="12456" xr2:uid="{A43CAF41-2F0A-43C3-9935-5005B4B8D811}"/>
  </bookViews>
  <sheets>
    <sheet name="Tổng hợp điểm " sheetId="1" r:id="rId1"/>
    <sheet name="Điểm thực hành các buổi" sheetId="2" r:id="rId2"/>
    <sheet name="Điểm bài tập lớn" sheetId="3" r:id="rId3"/>
    <sheet name="Điểm Lý Thuyết " sheetId="4" r:id="rId4"/>
    <sheet name="Các bảng tham chiếu &amp; thống kê" sheetId="5" r:id="rId5"/>
    <sheet name="Sinh viên &gt; 7" sheetId="8" r:id="rId6"/>
    <sheet name="Sinh viên &lt; 7" sheetId="9" r:id="rId7"/>
  </sheets>
  <definedNames>
    <definedName name="_xlnm._FilterDatabase" localSheetId="0" hidden="1">'Tổng hợp điểm '!$A$6:$K$20</definedName>
    <definedName name="k">'Tổng hợp điểm 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 a="1"/>
  <c r="K7" i="1" s="1"/>
  <c r="K8" i="1" a="1"/>
  <c r="K8" i="1" s="1"/>
  <c r="F15" i="5"/>
  <c r="F14" i="5"/>
  <c r="H8" i="1"/>
  <c r="H9" i="1"/>
  <c r="H10" i="1"/>
  <c r="H11" i="1"/>
  <c r="H12" i="1"/>
  <c r="H13" i="1"/>
  <c r="H14" i="1"/>
  <c r="H15" i="1"/>
  <c r="H16" i="1"/>
  <c r="H17" i="1"/>
  <c r="I17" i="1" s="1"/>
  <c r="H18" i="1"/>
  <c r="H19" i="1"/>
  <c r="I19" i="1" s="1"/>
  <c r="H20" i="1"/>
  <c r="H7" i="1"/>
  <c r="C3" i="4" a="1"/>
  <c r="C3" i="4" s="1"/>
  <c r="B3" i="4" a="1"/>
  <c r="B3" i="4" s="1"/>
  <c r="B3" i="3" a="1"/>
  <c r="B3" i="3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7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3" i="3" a="1"/>
  <c r="C3" i="3" s="1"/>
  <c r="A14" i="5"/>
  <c r="A11" i="2"/>
  <c r="A3" i="2"/>
  <c r="A21" i="5"/>
  <c r="A15" i="5"/>
  <c r="A16" i="5"/>
  <c r="A17" i="5"/>
  <c r="A18" i="5"/>
  <c r="A19" i="5"/>
  <c r="A20" i="5"/>
  <c r="A22" i="5"/>
  <c r="A23" i="5"/>
  <c r="A24" i="5"/>
  <c r="A25" i="5"/>
  <c r="A26" i="5"/>
  <c r="A27" i="5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3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3" i="3"/>
  <c r="A4" i="2"/>
  <c r="A5" i="2"/>
  <c r="A6" i="2"/>
  <c r="A7" i="2"/>
  <c r="A8" i="2"/>
  <c r="A9" i="2"/>
  <c r="A10" i="2"/>
  <c r="A12" i="2"/>
  <c r="A13" i="2"/>
  <c r="A14" i="2"/>
  <c r="A15" i="2"/>
  <c r="A16" i="2"/>
  <c r="G19" i="1" l="1"/>
  <c r="J19" i="1" s="1"/>
  <c r="K20" i="1" s="1" a="1"/>
  <c r="K20" i="1" s="1"/>
  <c r="G8" i="1"/>
  <c r="I8" i="1" s="1"/>
  <c r="I7" i="1" s="1"/>
  <c r="G20" i="1"/>
  <c r="I20" i="1" s="1"/>
  <c r="G9" i="1"/>
  <c r="G7" i="1"/>
  <c r="G10" i="1"/>
  <c r="G11" i="1"/>
  <c r="G12" i="1"/>
  <c r="G13" i="1"/>
  <c r="I13" i="1" s="1"/>
  <c r="G14" i="1"/>
  <c r="J14" i="1" s="1"/>
  <c r="K15" i="1" s="1" a="1"/>
  <c r="K15" i="1" s="1"/>
  <c r="G15" i="1"/>
  <c r="I15" i="1" s="1"/>
  <c r="G16" i="1"/>
  <c r="G18" i="1"/>
  <c r="I18" i="1" s="1"/>
  <c r="G17" i="1"/>
  <c r="J17" i="1" s="1"/>
  <c r="K18" i="1" s="1" a="1"/>
  <c r="K18" i="1" s="1"/>
  <c r="I16" i="1" l="1"/>
  <c r="J16" i="1"/>
  <c r="K17" i="1" s="1" a="1"/>
  <c r="K17" i="1" s="1"/>
  <c r="J15" i="1"/>
  <c r="K16" i="1" s="1" a="1"/>
  <c r="K16" i="1" s="1"/>
  <c r="J13" i="1"/>
  <c r="K14" i="1" s="1" a="1"/>
  <c r="K14" i="1" s="1"/>
  <c r="I11" i="1"/>
  <c r="J11" i="1" s="1"/>
  <c r="K12" i="1" s="1" a="1"/>
  <c r="K12" i="1" s="1"/>
  <c r="J7" i="1"/>
  <c r="I9" i="1"/>
  <c r="J9" i="1" s="1"/>
  <c r="K10" i="1" s="1" a="1"/>
  <c r="K10" i="1" s="1"/>
  <c r="J20" i="1"/>
  <c r="I14" i="1"/>
  <c r="J8" i="1"/>
  <c r="K9" i="1" s="1" a="1"/>
  <c r="K9" i="1" s="1"/>
  <c r="I10" i="1"/>
  <c r="J10" i="1" s="1"/>
  <c r="K11" i="1" s="1" a="1"/>
  <c r="K11" i="1" s="1"/>
  <c r="J18" i="1"/>
  <c r="K19" i="1" s="1" a="1"/>
  <c r="K19" i="1" s="1"/>
  <c r="I12" i="1"/>
  <c r="J12" i="1" s="1"/>
  <c r="K13" i="1" s="1" a="1"/>
  <c r="K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<sst xmlns="http://schemas.openxmlformats.org/spreadsheetml/2006/main" count="206" uniqueCount="103">
  <si>
    <t xml:space="preserve"> </t>
  </si>
  <si>
    <t>BẢNG ĐIỂM HK1 2018 - 2019 (CT428)</t>
  </si>
  <si>
    <t>Ma CB</t>
  </si>
  <si>
    <t>Ma MH</t>
  </si>
  <si>
    <t>Nam Hoc</t>
  </si>
  <si>
    <t>CT428</t>
  </si>
  <si>
    <t>Ho va ten</t>
  </si>
  <si>
    <t>Ma NH</t>
  </si>
  <si>
    <t>Hoc ky</t>
  </si>
  <si>
    <t>Nguyen Minh Trung</t>
  </si>
  <si>
    <t>STT</t>
  </si>
  <si>
    <t>S
T
T</t>
  </si>
  <si>
    <t>Họ và Tên</t>
  </si>
  <si>
    <t>Điểm 
TH 1</t>
  </si>
  <si>
    <t xml:space="preserve">Điểm
TH 2  </t>
  </si>
  <si>
    <t>Điểm 
TH 3</t>
  </si>
  <si>
    <t>Điểm 
BT
 lớn</t>
  </si>
  <si>
    <t>Điểm 
LT</t>
  </si>
  <si>
    <t>Điểm 
tổng</t>
  </si>
  <si>
    <t>Điểm 
theo 
thang 
điểm 
10</t>
  </si>
  <si>
    <t>Điểm 
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</si>
  <si>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</si>
  <si>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</si>
  <si>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</si>
  <si>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</si>
  <si>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</si>
  <si>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</si>
  <si>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</si>
  <si>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</si>
  <si>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</si>
  <si>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</si>
  <si>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</si>
  <si>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</si>
  <si>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</si>
  <si>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</si>
  <si>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2018 - 2019</t>
  </si>
  <si>
    <t>Mã SV</t>
  </si>
  <si>
    <t xml:space="preserve">Họ và tên </t>
  </si>
  <si>
    <t>Điểm TH 1</t>
  </si>
  <si>
    <t>Điểm TH 2</t>
  </si>
  <si>
    <t>Điểm TH 3</t>
  </si>
  <si>
    <t>Nguyễn Văn Hiếu</t>
  </si>
  <si>
    <t xml:space="preserve">Lý Minh Trí </t>
  </si>
  <si>
    <t>Nguyễn Kiều Mi</t>
  </si>
  <si>
    <t>Đặng Duy Linh</t>
  </si>
  <si>
    <t>Lê Thị Trúc Linh</t>
  </si>
  <si>
    <t xml:space="preserve">Phạm Thị Huỳnh </t>
  </si>
  <si>
    <t xml:space="preserve">Lê Minh Thông </t>
  </si>
  <si>
    <t xml:space="preserve">Huỳnh Thị Diễm </t>
  </si>
  <si>
    <t xml:space="preserve">Trần Thanh Nguyên </t>
  </si>
  <si>
    <t>Nguyễn Thị Đào</t>
  </si>
  <si>
    <t>Nguyễn Chí Thanh</t>
  </si>
  <si>
    <t xml:space="preserve">Nguyễn Hải Anh </t>
  </si>
  <si>
    <t>Trần Nam Dương</t>
  </si>
  <si>
    <t>Nguyễn Duy Khanh</t>
  </si>
  <si>
    <t>Điểm bài tập lớn</t>
  </si>
  <si>
    <t>Họ và tên</t>
  </si>
  <si>
    <t>Điểm BT lớn</t>
  </si>
  <si>
    <t>Điểm Lý Thuyết</t>
  </si>
  <si>
    <t>Điểm lý thuyết</t>
  </si>
  <si>
    <t>Bảng quy đổi điểm</t>
  </si>
  <si>
    <t>Điểm Chữ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</si>
  <si>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</si>
  <si>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</si>
  <si>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</si>
  <si>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</si>
  <si>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</si>
  <si>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</si>
  <si>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</si>
  <si>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</si>
  <si>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</si>
  <si>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</si>
  <si>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Điểm CT</t>
  </si>
  <si>
    <t>Danh sách sinh viên</t>
  </si>
  <si>
    <t>thang điểm 10</t>
  </si>
  <si>
    <t xml:space="preserve"> thang điểm 4</t>
  </si>
  <si>
    <t>Bảng thống kê theo điểm chữ</t>
  </si>
  <si>
    <t>Điểm chữ</t>
  </si>
  <si>
    <t>Số lượng sinh viên</t>
  </si>
  <si>
    <t>Số sinh viên nghỉ TH &gt; 2</t>
  </si>
  <si>
    <t>Số sinh viên điểm BT
lớn = 0 hoặc điểm LT
= -3</t>
  </si>
  <si>
    <t>B1509929</t>
  </si>
  <si>
    <t>B1605285</t>
  </si>
  <si>
    <t>B1605291</t>
  </si>
  <si>
    <t>B1605249</t>
  </si>
  <si>
    <t>B1605223</t>
  </si>
  <si>
    <t>B1505915</t>
  </si>
  <si>
    <t>B1607025</t>
  </si>
  <si>
    <t>B1609773</t>
  </si>
  <si>
    <t>B1609759</t>
  </si>
  <si>
    <t>B1509874</t>
  </si>
  <si>
    <t>B1605344</t>
  </si>
  <si>
    <t>B1505719</t>
  </si>
  <si>
    <t>B1605235</t>
  </si>
  <si>
    <t>Huỳnh Thị Diễm</t>
  </si>
  <si>
    <t>Lý Minh Chí</t>
  </si>
  <si>
    <t>Nguyễn Hải Anh</t>
  </si>
  <si>
    <t xml:space="preserve">Nguyễn Kiều Mi </t>
  </si>
  <si>
    <t xml:space="preserve">Nguyễn Thị Đào </t>
  </si>
  <si>
    <t>Phạm Thị Huỳnh</t>
  </si>
  <si>
    <t>B1609765</t>
  </si>
  <si>
    <t>0B1605285</t>
  </si>
  <si>
    <t>Bảng thống kê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</si>
</sst>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imes New Roman"/>
      <family val="2"/>
    </font>
    <font>
      <sz val="12"/>
      <color rgb="FFFF0000"/>
      <name val="Times New Roman"/>
      <family val="2"/>
    </font>
    <font>
      <sz val="12"/>
      <color theme="0"/>
      <name val="Times New Roman"/>
      <family val="2"/>
    </font>
    <font>
      <sz val="12"/>
      <name val="Times New Roman"/>
      <family val="2"/>
    </font>
    <font>
      <b/>
      <sz val="12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2"/>
      <color rgb="FF002060"/>
      <name val="Times New Roman"/>
      <family val="1"/>
      <charset val="163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1" fillId="6" borderId="1" xfId="0" applyFont="1" applyFill="1" applyBorder="1"/>
    <xf numFmtId="0" fontId="2" fillId="6" borderId="2" xfId="0" applyFont="1" applyFill="1" applyBorder="1"/>
    <xf numFmtId="0" fontId="2" fillId="6" borderId="4" xfId="0" applyFont="1" applyFill="1" applyBorder="1"/>
    <xf numFmtId="0" fontId="0" fillId="5" borderId="1" xfId="0" applyFill="1" applyBorder="1" applyAlignment="1">
      <alignment horizontal="center"/>
    </xf>
    <xf numFmtId="0" fontId="6" fillId="5" borderId="1" xfId="0" applyFont="1" applyFill="1" applyBorder="1"/>
    <xf numFmtId="0" fontId="7" fillId="4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 wrapText="1"/>
    </xf>
    <xf numFmtId="0" fontId="0" fillId="6" borderId="1" xfId="0" applyFill="1" applyBorder="1"/>
    <xf numFmtId="0" fontId="6" fillId="6" borderId="4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CCCCFF"/>
      <color rgb="FF9999FF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D8B7-B574-4B1F-857C-5660BBD4C8D4}">
  <dimension ref="A1:L20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7" sqref="K7"/>
    </sheetView>
  </sheetViews>
  <sheetFormatPr defaultColWidth="8.796875" defaultRowHeight="15.6" x14ac:dyDescent="0.3"/>
  <cols>
    <col min="1" max="1" width="5.796875" style="1" customWidth="1"/>
    <col min="2" max="2" width="12.296875" style="1" customWidth="1"/>
    <col min="3" max="3" width="18.19921875" style="1" customWidth="1"/>
    <col min="4" max="16384" width="8.796875" style="1"/>
  </cols>
  <sheetData>
    <row r="1" spans="1:12" x14ac:dyDescent="0.3">
      <c r="A1" s="1" t="s">
        <v>0</v>
      </c>
      <c r="B1" s="27" t="s">
        <v>1</v>
      </c>
      <c r="C1" s="28"/>
      <c r="D1" s="28"/>
      <c r="E1" s="28"/>
      <c r="F1" s="28"/>
      <c r="G1" s="28"/>
      <c r="H1" s="28"/>
    </row>
    <row r="2" spans="1:12" x14ac:dyDescent="0.3">
      <c r="B2" s="1" t="s">
        <v>2</v>
      </c>
      <c r="C2" s="2">
        <v>1043</v>
      </c>
      <c r="D2" s="29" t="s">
        <v>6</v>
      </c>
      <c r="E2" s="29"/>
      <c r="F2" s="29" t="s">
        <v>9</v>
      </c>
      <c r="G2" s="29"/>
      <c r="H2" s="29"/>
    </row>
    <row r="3" spans="1:12" x14ac:dyDescent="0.3">
      <c r="B3" s="1" t="s">
        <v>3</v>
      </c>
      <c r="C3" s="2" t="s">
        <v>5</v>
      </c>
      <c r="D3" s="29" t="s">
        <v>7</v>
      </c>
      <c r="E3" s="29"/>
      <c r="F3" s="29">
        <v>8</v>
      </c>
      <c r="G3" s="29"/>
      <c r="H3" s="29"/>
    </row>
    <row r="4" spans="1:12" x14ac:dyDescent="0.3">
      <c r="B4" s="1" t="s">
        <v>4</v>
      </c>
      <c r="C4" s="2" t="s">
        <v>35</v>
      </c>
      <c r="D4" s="29" t="s">
        <v>8</v>
      </c>
      <c r="E4" s="29"/>
      <c r="F4" s="29">
        <v>1</v>
      </c>
      <c r="G4" s="29"/>
      <c r="H4" s="29"/>
    </row>
    <row r="6" spans="1:12" s="3" customFormat="1" ht="73.8" customHeight="1" x14ac:dyDescent="0.3">
      <c r="A6" s="6" t="s">
        <v>11</v>
      </c>
      <c r="B6" s="7" t="s">
        <v>36</v>
      </c>
      <c r="C6" s="7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  <c r="L6" s="17"/>
    </row>
    <row r="7" spans="1:12" x14ac:dyDescent="0.3">
      <c r="A7" s="4">
        <v>1</v>
      </c>
      <c r="B7" s="4" t="s">
        <v>21</v>
      </c>
      <c r="C7" s="1" t="str">
        <f>VLOOKUP(RIGHT(B7,8),'Các bảng tham chiếu &amp; thống kê'!$B$14:$C$27,2,0)</f>
        <v>Nguyễn Văn Hiếu</v>
      </c>
      <c r="D7" s="1">
        <f>VLOOKUP(RIGHT(B7,8), 'Điểm thực hành các buổi'!$B$3:$F$16, 3, FALSE)</f>
        <v>0.45</v>
      </c>
      <c r="E7" s="1">
        <f>VLOOKUP(RIGHT(B7,8), 'Điểm thực hành các buổi'!$B$3:$F$16, 4, FALSE)</f>
        <v>0.25</v>
      </c>
      <c r="F7" s="1">
        <f>VLOOKUP(RIGHT(B7,8), 'Điểm thực hành các buổi'!$B$3:$F$16, 5, FALSE)</f>
        <v>0.3</v>
      </c>
      <c r="G7" s="1">
        <f>VLOOKUP(RIGHT(B7,8), 'Điểm bài tập lớn'!$B$3:$D$16, 3, FALSE)</f>
        <v>0.5</v>
      </c>
      <c r="H7" s="10">
        <f>VLOOKUP(RIGHT(B7,8), 'Điểm Lý Thuyết '!$B$3:$D$16, 3, FALSE)</f>
        <v>4.2</v>
      </c>
      <c r="I7" s="1">
        <f>I8</f>
        <v>5.7</v>
      </c>
      <c r="J7" s="20">
        <f>IF(OR(G7=0,H7=-3),0, ROUND(IFERROR(VALUE(I7),0) +IFERROR(VLOOKUP(LEFT(B7,2),'Các bảng tham chiếu &amp; thống kê'!$A$3:$B$10,2,FALSE),0),2))</f>
        <v>5.7</v>
      </c>
      <c r="K7" s="22" t="str" cm="1">
        <f t="array" ref="K7">_xlfn.IFS(
J7&lt;4,"F",
J7&lt;5,"D",
J7&lt;5.5,"D+",
J7&lt;6.5,"C",
J7&lt;7,"C+",
J7&lt;8,"B",
J7&lt;9,"B+",
J7&gt;=9,"A"
)</f>
        <v>C</v>
      </c>
    </row>
    <row r="8" spans="1:12" x14ac:dyDescent="0.3">
      <c r="A8" s="4">
        <v>2</v>
      </c>
      <c r="B8" s="4" t="s">
        <v>22</v>
      </c>
      <c r="C8" s="1" t="str">
        <f>VLOOKUP(RIGHT(B8,8),'Các bảng tham chiếu &amp; thống kê'!$B$14:$C$27,2,0)</f>
        <v>Lý Minh Chí</v>
      </c>
      <c r="D8" s="1">
        <f>VLOOKUP(RIGHT(B8,8), 'Điểm thực hành các buổi'!$B$3:$F$16, 3, FALSE)</f>
        <v>0.5</v>
      </c>
      <c r="E8" s="1">
        <f>VLOOKUP(RIGHT(B8,8), 'Điểm thực hành các buổi'!$B$3:$F$16, 4, FALSE)</f>
        <v>0.35</v>
      </c>
      <c r="F8" s="1">
        <f>VLOOKUP(RIGHT(B8,8), 'Điểm thực hành các buổi'!$B$3:$F$16, 5, FALSE)</f>
        <v>0.4</v>
      </c>
      <c r="G8" s="1">
        <f>VLOOKUP(RIGHT(B8,8), 'Điểm bài tập lớn'!$B$3:$D$16, 3, FALSE)</f>
        <v>1</v>
      </c>
      <c r="H8" s="10">
        <f>VLOOKUP(RIGHT(B8,8), 'Điểm Lý Thuyết '!$B$3:$D$16, 3, FALSE)</f>
        <v>5.8</v>
      </c>
      <c r="I8" s="1">
        <f t="shared" ref="I8:I20" si="0">IF(H8=-3,0,ROUND(D8+E8+F8+G8+0.6*H8,1))</f>
        <v>5.7</v>
      </c>
      <c r="J8" s="20">
        <f>IF(OR(G8=0,H8=-3),0, ROUND(IFERROR(VALUE(I8),0) +IFERROR(VLOOKUP(LEFT(B8,2),'Các bảng tham chiếu &amp; thống kê'!$A$3:$B$10,2,FALSE),0),2))</f>
        <v>5.7</v>
      </c>
      <c r="K8" s="21" t="str" cm="1">
        <f t="array" ref="K8">_xlfn.IFS(
J7&lt;4,"F",
J7&lt;5,"D",
J7&lt;5.5,"D+",
J7&lt;6.5,"C",
J7&lt;7,"C+",
J7&lt;8,"B",
J7&lt;9,"B+",
J7&gt;=9,"A"
)</f>
        <v>C</v>
      </c>
    </row>
    <row r="9" spans="1:12" x14ac:dyDescent="0.3">
      <c r="A9" s="4">
        <v>3</v>
      </c>
      <c r="B9" s="4" t="s">
        <v>23</v>
      </c>
      <c r="C9" s="1" t="str">
        <f>VLOOKUP(RIGHT(B9,8),'Các bảng tham chiếu &amp; thống kê'!$B$14:$C$27,2,0)</f>
        <v xml:space="preserve">Nguyễn Kiều Mi </v>
      </c>
      <c r="D9" s="1">
        <f>VLOOKUP(RIGHT(B9,8), 'Điểm thực hành các buổi'!$B$3:$F$16, 3, FALSE)</f>
        <v>0.25</v>
      </c>
      <c r="E9" s="1">
        <f>VLOOKUP(RIGHT(B9,8), 'Điểm thực hành các buổi'!$B$3:$F$16, 4, FALSE)</f>
        <v>0.25</v>
      </c>
      <c r="F9" s="1">
        <f>VLOOKUP(RIGHT(B9,8), 'Điểm thực hành các buổi'!$B$3:$F$16, 5, FALSE)</f>
        <v>0.3</v>
      </c>
      <c r="G9" s="1">
        <f>VLOOKUP(RIGHT(B9,8), 'Điểm bài tập lớn'!$B$3:$D$16, 3, FALSE)</f>
        <v>0.5</v>
      </c>
      <c r="H9" s="10">
        <f>VLOOKUP(RIGHT(B9,8), 'Điểm Lý Thuyết '!$B$3:$D$16, 3, FALSE)</f>
        <v>5.8</v>
      </c>
      <c r="I9" s="1">
        <f t="shared" si="0"/>
        <v>4.8</v>
      </c>
      <c r="J9" s="20">
        <f>IF(OR(G9=0,H9=-3),0, ROUND(IFERROR(VALUE(I9),0) +IFERROR(VLOOKUP(LEFT(B9,2),'Các bảng tham chiếu &amp; thống kê'!$A$3:$B$10,2,FALSE),0),2))</f>
        <v>4.8</v>
      </c>
      <c r="K9" s="21" t="str" cm="1">
        <f t="array" ref="K9">_xlfn.IFS(
J8&lt;4,"F",
J8&lt;5,"D",
J8&lt;5.5,"D+",
J8&lt;6.5,"C",
J8&lt;7,"C+",
J8&lt;8,"B",
J8&lt;9,"B+",
J8&gt;=9,"A"
)</f>
        <v>C</v>
      </c>
    </row>
    <row r="10" spans="1:12" x14ac:dyDescent="0.3">
      <c r="A10" s="4">
        <v>4</v>
      </c>
      <c r="B10" s="4" t="s">
        <v>24</v>
      </c>
      <c r="C10" s="1" t="str">
        <f>VLOOKUP(RIGHT(B10,8),'Các bảng tham chiếu &amp; thống kê'!$B$14:$C$27,2,0)</f>
        <v>Đặng Duy Linh</v>
      </c>
      <c r="D10" s="1">
        <f>VLOOKUP(RIGHT(B10,8), 'Điểm thực hành các buổi'!$B$3:$F$16, 3, FALSE)</f>
        <v>0.4</v>
      </c>
      <c r="E10" s="1">
        <f>VLOOKUP(RIGHT(B10,8), 'Điểm thực hành các buổi'!$B$3:$F$16, 4, FALSE)</f>
        <v>0.25</v>
      </c>
      <c r="F10" s="1">
        <f>VLOOKUP(RIGHT(B10,8), 'Điểm thực hành các buổi'!$B$3:$F$16, 5, FALSE)</f>
        <v>0.35</v>
      </c>
      <c r="G10" s="1">
        <f>VLOOKUP(RIGHT(B10,8), 'Điểm bài tập lớn'!$B$3:$D$16, 3, FALSE)</f>
        <v>1</v>
      </c>
      <c r="H10" s="10">
        <f>VLOOKUP(RIGHT(B10,8), 'Điểm Lý Thuyết '!$B$3:$D$16, 3, FALSE)</f>
        <v>4.5</v>
      </c>
      <c r="I10" s="1">
        <f t="shared" si="0"/>
        <v>4.7</v>
      </c>
      <c r="J10" s="20">
        <f>IF(OR(G10=0,H10=-3),0, ROUND(IFERROR(VALUE(I10),0) +IFERROR(VLOOKUP(LEFT(B10,2),'Các bảng tham chiếu &amp; thống kê'!$A$3:$B$10,2,FALSE),0),2))</f>
        <v>4.7</v>
      </c>
      <c r="K10" s="21" t="str" cm="1">
        <f t="array" ref="K10">_xlfn.IFS(
J9&lt;4,"F",
J9&lt;5,"D",
J9&lt;5.5,"D+",
J9&lt;6.5,"C",
J9&lt;7,"C+",
J9&lt;8,"B",
J9&lt;9,"B+",
J9&gt;=9,"A"
)</f>
        <v>D</v>
      </c>
    </row>
    <row r="11" spans="1:12" x14ac:dyDescent="0.3">
      <c r="A11" s="4">
        <v>5</v>
      </c>
      <c r="B11" s="4" t="s">
        <v>25</v>
      </c>
      <c r="C11" s="1" t="str">
        <f>VLOOKUP(RIGHT(B11,8),'Các bảng tham chiếu &amp; thống kê'!$B$14:$C$27,2,0)</f>
        <v>Lê Thị Trúc Linh</v>
      </c>
      <c r="D11" s="1">
        <f>VLOOKUP(RIGHT(B11,8), 'Điểm thực hành các buổi'!$B$3:$F$16, 3, FALSE)</f>
        <v>0.45</v>
      </c>
      <c r="E11" s="1">
        <f>VLOOKUP(RIGHT(B11,8), 'Điểm thực hành các buổi'!$B$3:$F$16, 4, FALSE)</f>
        <v>0.4</v>
      </c>
      <c r="F11" s="1">
        <f>VLOOKUP(RIGHT(B11,8), 'Điểm thực hành các buổi'!$B$3:$F$16, 5, FALSE)</f>
        <v>0.35</v>
      </c>
      <c r="G11" s="1">
        <f>VLOOKUP(RIGHT(B11,8), 'Điểm bài tập lớn'!$B$3:$D$16, 3, FALSE)</f>
        <v>0.75</v>
      </c>
      <c r="H11" s="10">
        <f>VLOOKUP(RIGHT(B11,8), 'Điểm Lý Thuyết '!$B$3:$D$16, 3, FALSE)</f>
        <v>5.5</v>
      </c>
      <c r="I11" s="1">
        <f t="shared" si="0"/>
        <v>5.3</v>
      </c>
      <c r="J11" s="20">
        <f>IF(OR(G11=0,H11=-3),0, ROUND(IFERROR(VALUE(I11),0) +IFERROR(VLOOKUP(LEFT(B11,2),'Các bảng tham chiếu &amp; thống kê'!$A$3:$B$10,2,FALSE),0),2))</f>
        <v>5.3</v>
      </c>
      <c r="K11" s="21" t="str" cm="1">
        <f t="array" ref="K11">_xlfn.IFS(
J10&lt;4,"F",
J10&lt;5,"D",
J10&lt;5.5,"D+",
J10&lt;6.5,"C",
J10&lt;7,"C+",
J10&lt;8,"B",
J10&lt;9,"B+",
J10&gt;=9,"A"
)</f>
        <v>D</v>
      </c>
    </row>
    <row r="12" spans="1:12" x14ac:dyDescent="0.3">
      <c r="A12" s="4">
        <v>6</v>
      </c>
      <c r="B12" s="4" t="s">
        <v>26</v>
      </c>
      <c r="C12" s="1" t="str">
        <f>VLOOKUP(RIGHT(B12,8),'Các bảng tham chiếu &amp; thống kê'!$B$14:$C$27,2,0)</f>
        <v>Phạm Thị Huỳnh</v>
      </c>
      <c r="D12" s="1">
        <f>VLOOKUP(RIGHT(B12,8), 'Điểm thực hành các buổi'!$B$3:$F$16, 3, FALSE)</f>
        <v>0.4</v>
      </c>
      <c r="E12" s="1">
        <f>VLOOKUP(RIGHT(B12,8), 'Điểm thực hành các buổi'!$B$3:$F$16, 4, FALSE)</f>
        <v>0.45</v>
      </c>
      <c r="F12" s="1">
        <f>VLOOKUP(RIGHT(B12,8), 'Điểm thực hành các buổi'!$B$3:$F$16, 5, FALSE)</f>
        <v>0.5</v>
      </c>
      <c r="G12" s="1">
        <f>VLOOKUP(RIGHT(B12,8), 'Điểm bài tập lớn'!$B$3:$D$16, 3, FALSE)</f>
        <v>1.2</v>
      </c>
      <c r="H12" s="10">
        <f>VLOOKUP(RIGHT(B12,8), 'Điểm Lý Thuyết '!$B$3:$D$16, 3, FALSE)</f>
        <v>7.5</v>
      </c>
      <c r="I12" s="1">
        <f t="shared" si="0"/>
        <v>7.1</v>
      </c>
      <c r="J12" s="20">
        <f>IF(OR(G12=0,H12=-3),0, ROUND(IFERROR(VALUE(I12),0) +IFERROR(VLOOKUP(LEFT(B12,2),'Các bảng tham chiếu &amp; thống kê'!$A$3:$B$10,2,FALSE),0),2))</f>
        <v>7.1</v>
      </c>
      <c r="K12" s="21" t="str" cm="1">
        <f t="array" ref="K12">_xlfn.IFS(
J11&lt;4,"F",
J11&lt;5,"D",
J11&lt;5.5,"D+",
J11&lt;6.5,"C",
J11&lt;7,"C+",
J11&lt;8,"B",
J11&lt;9,"B+",
J11&gt;=9,"A"
)</f>
        <v>D+</v>
      </c>
    </row>
    <row r="13" spans="1:12" x14ac:dyDescent="0.3">
      <c r="A13" s="4">
        <v>7</v>
      </c>
      <c r="B13" s="4" t="s">
        <v>27</v>
      </c>
      <c r="C13" s="1" t="str">
        <f>VLOOKUP(RIGHT(B13,8),'Các bảng tham chiếu &amp; thống kê'!$B$14:$C$27,2,0)</f>
        <v xml:space="preserve">Lê Minh Thông </v>
      </c>
      <c r="D13" s="1">
        <f>VLOOKUP(RIGHT(B13,8), 'Điểm thực hành các buổi'!$B$3:$F$16, 3, FALSE)</f>
        <v>0.4</v>
      </c>
      <c r="E13" s="1">
        <f>VLOOKUP(RIGHT(B13,8), 'Điểm thực hành các buổi'!$B$3:$F$16, 4, FALSE)</f>
        <v>0.4</v>
      </c>
      <c r="F13" s="1">
        <f>VLOOKUP(RIGHT(B13,8), 'Điểm thực hành các buổi'!$B$3:$F$16, 5, FALSE)</f>
        <v>0.4</v>
      </c>
      <c r="G13" s="1">
        <f>VLOOKUP(RIGHT(B13,8), 'Điểm bài tập lớn'!$B$3:$D$16, 3, FALSE)</f>
        <v>1</v>
      </c>
      <c r="H13" s="10">
        <f>VLOOKUP(RIGHT(B13,8), 'Điểm Lý Thuyết '!$B$3:$D$16, 3, FALSE)</f>
        <v>5.3</v>
      </c>
      <c r="I13" s="1">
        <f t="shared" si="0"/>
        <v>5.4</v>
      </c>
      <c r="J13" s="20">
        <f>IF(OR(G13=0,H13=-3),0, ROUND(IFERROR(VALUE(I13),0) +IFERROR(VLOOKUP(LEFT(B13,2),'Các bảng tham chiếu &amp; thống kê'!$A$3:$B$10,2,FALSE),0),2))</f>
        <v>5.4</v>
      </c>
      <c r="K13" s="21" t="str" cm="1">
        <f t="array" ref="K13">_xlfn.IFS(
J12&lt;4,"F",
J12&lt;5,"D",
J12&lt;5.5,"D+",
J12&lt;6.5,"C",
J12&lt;7,"C+",
J12&lt;8,"B",
J12&lt;9,"B+",
J12&gt;=9,"A"
)</f>
        <v>B</v>
      </c>
    </row>
    <row r="14" spans="1:12" x14ac:dyDescent="0.3">
      <c r="A14" s="4">
        <v>8</v>
      </c>
      <c r="B14" s="4" t="s">
        <v>101</v>
      </c>
      <c r="C14" s="1" t="str">
        <f>VLOOKUP(RIGHT(B14,8),'Các bảng tham chiếu &amp; thống kê'!$B$14:$C$27,2,0)</f>
        <v>Huỳnh Thị Diễm</v>
      </c>
      <c r="D14" s="1">
        <f>VLOOKUP(RIGHT(B14,8), 'Điểm thực hành các buổi'!$B$3:$F$16, 3, FALSE)</f>
        <v>0.45</v>
      </c>
      <c r="E14" s="1">
        <f>VLOOKUP(RIGHT(B14,8), 'Điểm thực hành các buổi'!$B$3:$F$16, 4, FALSE)</f>
        <v>0.4</v>
      </c>
      <c r="F14" s="1">
        <f>VLOOKUP(RIGHT(B14,8), 'Điểm thực hành các buổi'!$B$3:$F$16, 5, FALSE)</f>
        <v>0.45</v>
      </c>
      <c r="G14" s="1">
        <f>VLOOKUP(RIGHT(B14,8), 'Điểm bài tập lớn'!$B$3:$D$16, 3, FALSE)</f>
        <v>0</v>
      </c>
      <c r="H14" s="10">
        <f>VLOOKUP(RIGHT(B14,8), 'Điểm Lý Thuyết '!$B$3:$D$16, 3, FALSE)</f>
        <v>6.8</v>
      </c>
      <c r="I14" s="1">
        <f t="shared" si="0"/>
        <v>5.4</v>
      </c>
      <c r="J14" s="20">
        <f>IF(OR(G14=0,H14=-3),0, ROUND(IFERROR(VALUE(I14),0) +IFERROR(VLOOKUP(LEFT(B14,2),'Các bảng tham chiếu &amp; thống kê'!$A$3:$B$10,2,FALSE),0),2))</f>
        <v>0</v>
      </c>
      <c r="K14" s="21" t="str" cm="1">
        <f t="array" ref="K14">_xlfn.IFS(
J13&lt;4,"F",
J13&lt;5,"D",
J13&lt;5.5,"D+",
J13&lt;6.5,"C",
J13&lt;7,"C+",
J13&lt;8,"B",
J13&lt;9,"B+",
J13&gt;=9,"A"
)</f>
        <v>D+</v>
      </c>
    </row>
    <row r="15" spans="1:12" x14ac:dyDescent="0.3">
      <c r="A15" s="4">
        <v>9</v>
      </c>
      <c r="B15" s="4" t="s">
        <v>28</v>
      </c>
      <c r="C15" s="1" t="str">
        <f>VLOOKUP(RIGHT(B15,8),'Các bảng tham chiếu &amp; thống kê'!$B$14:$C$27,2,0)</f>
        <v xml:space="preserve">Trần Thanh Nguyên </v>
      </c>
      <c r="D15" s="1">
        <f>VLOOKUP(RIGHT(B15,8), 'Điểm thực hành các buổi'!$B$3:$F$16, 3, FALSE)</f>
        <v>0.45</v>
      </c>
      <c r="E15" s="1">
        <f>VLOOKUP(RIGHT(B15,8), 'Điểm thực hành các buổi'!$B$3:$F$16, 4, FALSE)</f>
        <v>0.4</v>
      </c>
      <c r="F15" s="1">
        <f>VLOOKUP(RIGHT(B15,8), 'Điểm thực hành các buổi'!$B$3:$F$16, 5, FALSE)</f>
        <v>0.4</v>
      </c>
      <c r="G15" s="1">
        <f>VLOOKUP(RIGHT(B15,8), 'Điểm bài tập lớn'!$B$3:$D$16, 3, FALSE)</f>
        <v>0.75</v>
      </c>
      <c r="H15" s="10">
        <f>VLOOKUP(RIGHT(B15,8), 'Điểm Lý Thuyết '!$B$3:$D$16, 3, FALSE)</f>
        <v>6.3</v>
      </c>
      <c r="I15" s="1">
        <f t="shared" si="0"/>
        <v>5.8</v>
      </c>
      <c r="J15" s="20">
        <f>IF(OR(G15=0,H15=-3),0, ROUND(IFERROR(VALUE(I15),0) +IFERROR(VLOOKUP(LEFT(B15,2),'Các bảng tham chiếu &amp; thống kê'!$A$3:$B$10,2,FALSE),0),2))</f>
        <v>5.8</v>
      </c>
      <c r="K15" s="21" t="str" cm="1">
        <f t="array" ref="K15">_xlfn.IFS(
J14&lt;4,"F",
J14&lt;5,"D",
J14&lt;5.5,"D+",
J14&lt;6.5,"C",
J14&lt;7,"C+",
J14&lt;8,"B",
J14&lt;9,"B+",
J14&gt;=9,"A"
)</f>
        <v>F</v>
      </c>
    </row>
    <row r="16" spans="1:12" x14ac:dyDescent="0.3">
      <c r="A16" s="4">
        <v>10</v>
      </c>
      <c r="B16" s="4" t="s">
        <v>29</v>
      </c>
      <c r="C16" s="1" t="str">
        <f>VLOOKUP(RIGHT(B16,8),'Các bảng tham chiếu &amp; thống kê'!$B$14:$C$27,2,0)</f>
        <v xml:space="preserve">Nguyễn Thị Đào </v>
      </c>
      <c r="D16" s="1">
        <f>VLOOKUP(RIGHT(B16,8), 'Điểm thực hành các buổi'!$B$3:$F$16, 3, FALSE)</f>
        <v>0.3</v>
      </c>
      <c r="E16" s="1">
        <f>VLOOKUP(RIGHT(B16,8), 'Điểm thực hành các buổi'!$B$3:$F$16, 4, FALSE)</f>
        <v>0.5</v>
      </c>
      <c r="F16" s="1">
        <f>VLOOKUP(RIGHT(B16,8), 'Điểm thực hành các buổi'!$B$3:$F$16, 5, FALSE)</f>
        <v>0.45</v>
      </c>
      <c r="G16" s="1">
        <f>VLOOKUP(RIGHT(B16,8), 'Điểm bài tập lớn'!$B$3:$D$16, 3, FALSE)</f>
        <v>0.3</v>
      </c>
      <c r="H16" s="10">
        <f>VLOOKUP(RIGHT(B16,8), 'Điểm Lý Thuyết '!$B$3:$D$16, 3, FALSE)</f>
        <v>8.3000000000000007</v>
      </c>
      <c r="I16" s="1">
        <f t="shared" si="0"/>
        <v>6.5</v>
      </c>
      <c r="J16" s="20">
        <f>IF(OR(G16=0,H16=-3),0, ROUND(IFERROR(VALUE(I16),0) +IFERROR(VLOOKUP(LEFT(B16,2),'Các bảng tham chiếu &amp; thống kê'!$A$3:$B$10,2,FALSE),0),2))</f>
        <v>6.5</v>
      </c>
      <c r="K16" s="21" t="str" cm="1">
        <f t="array" ref="K16">_xlfn.IFS(
J15&lt;4,"F",
J15&lt;5,"D",
J15&lt;5.5,"D+",
J15&lt;6.5,"C",
J15&lt;7,"C+",
J15&lt;8,"B",
J15&lt;9,"B+",
J15&gt;=9,"A"
)</f>
        <v>C</v>
      </c>
    </row>
    <row r="17" spans="1:11" x14ac:dyDescent="0.3">
      <c r="A17" s="4">
        <v>11</v>
      </c>
      <c r="B17" s="4" t="s">
        <v>30</v>
      </c>
      <c r="C17" s="1" t="str">
        <f>VLOOKUP(RIGHT(B17,8),'Các bảng tham chiếu &amp; thống kê'!$B$14:$C$27,2,0)</f>
        <v>Nguyễn Chí Thanh</v>
      </c>
      <c r="D17" s="1">
        <f>VLOOKUP(RIGHT(B17,8), 'Điểm thực hành các buổi'!$B$3:$F$16, 3, FALSE)</f>
        <v>0.4</v>
      </c>
      <c r="E17" s="1">
        <f>VLOOKUP(RIGHT(B17,8), 'Điểm thực hành các buổi'!$B$3:$F$16, 4, FALSE)</f>
        <v>0.45</v>
      </c>
      <c r="F17" s="1">
        <f>VLOOKUP(RIGHT(B17,8), 'Điểm thực hành các buổi'!$B$3:$F$16, 5, FALSE)</f>
        <v>0.4</v>
      </c>
      <c r="G17" s="1">
        <f>VLOOKUP(RIGHT(B17,8), 'Điểm bài tập lớn'!$B$3:$D$16, 3, FALSE)</f>
        <v>0.3</v>
      </c>
      <c r="H17" s="10">
        <f>VLOOKUP(RIGHT(B17,8), 'Điểm Lý Thuyết '!$B$3:$D$16, 3, FALSE)</f>
        <v>-3</v>
      </c>
      <c r="I17" s="1">
        <f t="shared" si="0"/>
        <v>0</v>
      </c>
      <c r="J17" s="20">
        <f>IF(OR(G17=0,H17=-3),0, ROUND(IFERROR(VALUE(I17),0) +IFERROR(VLOOKUP(LEFT(B17,2),'Các bảng tham chiếu &amp; thống kê'!$A$3:$B$10,2,FALSE),0),2))</f>
        <v>0</v>
      </c>
      <c r="K17" s="21" t="str" cm="1">
        <f t="array" ref="K17">_xlfn.IFS(
J16&lt;4,"F",
J16&lt;5,"D",
J16&lt;5.5,"D+",
J16&lt;6.5,"C",
J16&lt;7,"C+",
J16&lt;8,"B",
J16&lt;9,"B+",
J16&gt;=9,"A"
)</f>
        <v>C+</v>
      </c>
    </row>
    <row r="18" spans="1:11" x14ac:dyDescent="0.3">
      <c r="A18" s="4">
        <v>12</v>
      </c>
      <c r="B18" s="4" t="s">
        <v>31</v>
      </c>
      <c r="C18" s="1" t="str">
        <f>VLOOKUP(RIGHT(B18,8),'Các bảng tham chiếu &amp; thống kê'!$B$14:$C$27,2,0)</f>
        <v>Nguyễn Hải Anh</v>
      </c>
      <c r="D18" s="1">
        <f>VLOOKUP(RIGHT(B18,8), 'Điểm thực hành các buổi'!$B$3:$F$16, 3, FALSE)</f>
        <v>0.5</v>
      </c>
      <c r="E18" s="1">
        <f>VLOOKUP(RIGHT(B18,8), 'Điểm thực hành các buổi'!$B$3:$F$16, 4, FALSE)</f>
        <v>0.5</v>
      </c>
      <c r="F18" s="1">
        <f>VLOOKUP(RIGHT(B18,8), 'Điểm thực hành các buổi'!$B$3:$F$16, 5, FALSE)</f>
        <v>0.45</v>
      </c>
      <c r="G18" s="1">
        <f>VLOOKUP(RIGHT(B18,8), 'Điểm bài tập lớn'!$B$3:$D$16, 3, FALSE)</f>
        <v>1.5</v>
      </c>
      <c r="H18" s="10">
        <f>VLOOKUP(RIGHT(B18,8), 'Điểm Lý Thuyết '!$B$3:$D$16, 3, FALSE)</f>
        <v>7</v>
      </c>
      <c r="I18" s="1">
        <f t="shared" si="0"/>
        <v>7.2</v>
      </c>
      <c r="J18" s="20">
        <f>IF(OR(G18=0,H18=-3),0, ROUND(IFERROR(VALUE(I18),0) +IFERROR(VLOOKUP(LEFT(B18,2),'Các bảng tham chiếu &amp; thống kê'!$A$3:$B$10,2,FALSE),0),2))</f>
        <v>7.2</v>
      </c>
      <c r="K18" s="21" t="str" cm="1">
        <f t="array" ref="K18">_xlfn.IFS(
J17&lt;4,"F",
J17&lt;5,"D",
J17&lt;5.5,"D+",
J17&lt;6.5,"C",
J17&lt;7,"C+",
J17&lt;8,"B",
J17&lt;9,"B+",
J17&gt;=9,"A"
)</f>
        <v>F</v>
      </c>
    </row>
    <row r="19" spans="1:11" x14ac:dyDescent="0.3">
      <c r="A19" s="4">
        <v>13</v>
      </c>
      <c r="B19" s="4" t="s">
        <v>32</v>
      </c>
      <c r="C19" s="1" t="str">
        <f>VLOOKUP(RIGHT(B19,8),'Các bảng tham chiếu &amp; thống kê'!$B$14:$C$27,2,0)</f>
        <v>Trần Nam Dương</v>
      </c>
      <c r="D19" s="1">
        <f>VLOOKUP(RIGHT(B19,8), 'Điểm thực hành các buổi'!$B$3:$F$16, 3, FALSE)</f>
        <v>0.4</v>
      </c>
      <c r="E19" s="1">
        <f>VLOOKUP(RIGHT(B19,8), 'Điểm thực hành các buổi'!$B$3:$F$16, 4, FALSE)</f>
        <v>0.4</v>
      </c>
      <c r="F19" s="1">
        <f>VLOOKUP(RIGHT(B19,8), 'Điểm thực hành các buổi'!$B$3:$F$16, 5, FALSE)</f>
        <v>0.35</v>
      </c>
      <c r="G19" s="1">
        <f>VLOOKUP(RIGHT(B19,8), 'Điểm bài tập lớn'!$B$3:$D$16, 3, FALSE)</f>
        <v>1.35</v>
      </c>
      <c r="H19" s="10">
        <f>VLOOKUP(RIGHT(B19,8), 'Điểm Lý Thuyết '!$B$3:$D$16, 3, FALSE)</f>
        <v>-3</v>
      </c>
      <c r="I19" s="1">
        <f t="shared" si="0"/>
        <v>0</v>
      </c>
      <c r="J19" s="20">
        <f>IF(OR(G19=0,H19=-3),0, ROUND(IFERROR(VALUE(I19),0) +IFERROR(VLOOKUP(LEFT(B19,2),'Các bảng tham chiếu &amp; thống kê'!$A$3:$B$10,2,FALSE),0),2))</f>
        <v>0</v>
      </c>
      <c r="K19" s="21" t="str" cm="1">
        <f t="array" ref="K19">_xlfn.IFS(
J18&lt;4,"F",
J18&lt;5,"D",
J18&lt;5.5,"D+",
J18&lt;6.5,"C",
J18&lt;7,"C+",
J18&lt;8,"B",
J18&lt;9,"B+",
J18&gt;=9,"A"
)</f>
        <v>B</v>
      </c>
    </row>
    <row r="20" spans="1:11" x14ac:dyDescent="0.3">
      <c r="A20" s="4">
        <v>14</v>
      </c>
      <c r="B20" s="4" t="s">
        <v>33</v>
      </c>
      <c r="C20" s="1" t="str">
        <f>VLOOKUP(RIGHT(B20,8),'Các bảng tham chiếu &amp; thống kê'!$B$14:$C$27,2,0)</f>
        <v>Nguyễn Duy Khanh</v>
      </c>
      <c r="D20" s="1">
        <f>VLOOKUP(RIGHT(B20,8), 'Điểm thực hành các buổi'!$B$3:$F$16, 3, FALSE)</f>
        <v>0.35</v>
      </c>
      <c r="E20" s="1">
        <f>VLOOKUP(RIGHT(B20,8), 'Điểm thực hành các buổi'!$B$3:$F$16, 4, FALSE)</f>
        <v>0.4</v>
      </c>
      <c r="F20" s="1">
        <f>VLOOKUP(RIGHT(B20,8), 'Điểm thực hành các buổi'!$B$3:$F$16, 5, FALSE)</f>
        <v>0</v>
      </c>
      <c r="G20" s="1">
        <f>VLOOKUP(RIGHT(B20,8), 'Điểm bài tập lớn'!$B$3:$D$16, 3, FALSE)</f>
        <v>0.85</v>
      </c>
      <c r="H20" s="10">
        <f>VLOOKUP(RIGHT(B20,8), 'Điểm Lý Thuyết '!$B$3:$D$16, 3, FALSE)</f>
        <v>6.5</v>
      </c>
      <c r="I20" s="1">
        <f t="shared" si="0"/>
        <v>5.5</v>
      </c>
      <c r="J20" s="20">
        <f>IF(OR(G20=0,H20=-3),0, ROUND(IFERROR(VALUE(I20),0) +IFERROR(VLOOKUP(LEFT(B20,2),'Các bảng tham chiếu &amp; thống kê'!$A$3:$B$10,2,FALSE),0),2))</f>
        <v>5.5</v>
      </c>
      <c r="K20" s="21" t="str" cm="1">
        <f t="array" ref="K20">_xlfn.IFS(
J19&lt;4,"F",
J19&lt;5,"D",
J19&lt;5.5,"D+",
J19&lt;6.5,"C",
J19&lt;7,"C+",
J19&lt;8,"B",
J19&lt;9,"B+",
J19&gt;=9,"A"
)</f>
        <v>F</v>
      </c>
    </row>
  </sheetData>
  <mergeCells count="7">
    <mergeCell ref="B1:H1"/>
    <mergeCell ref="D2:E2"/>
    <mergeCell ref="F2:H2"/>
    <mergeCell ref="D3:E3"/>
    <mergeCell ref="D4:E4"/>
    <mergeCell ref="F3:H3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0042-6B24-4E4D-BE88-B26BA34B6636}">
  <dimension ref="A1:F16"/>
  <sheetViews>
    <sheetView zoomScaleNormal="100" workbookViewId="0">
      <selection activeCell="B11" sqref="B11"/>
    </sheetView>
  </sheetViews>
  <sheetFormatPr defaultColWidth="8.796875" defaultRowHeight="15.6" x14ac:dyDescent="0.3"/>
  <cols>
    <col min="1" max="1" width="6.59765625" style="1" customWidth="1"/>
    <col min="2" max="2" width="15.296875" style="1" customWidth="1"/>
    <col min="3" max="3" width="22.3984375" style="1" customWidth="1"/>
    <col min="4" max="6" width="11.69921875" style="1" customWidth="1"/>
    <col min="7" max="16384" width="8.796875" style="1"/>
  </cols>
  <sheetData>
    <row r="1" spans="1:6" x14ac:dyDescent="0.3">
      <c r="A1" s="30" t="s">
        <v>34</v>
      </c>
      <c r="B1" s="31"/>
      <c r="C1" s="31"/>
      <c r="D1" s="31"/>
      <c r="E1" s="31"/>
      <c r="F1" s="32"/>
    </row>
    <row r="2" spans="1:6" x14ac:dyDescent="0.3">
      <c r="A2" s="5" t="s">
        <v>10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</row>
    <row r="3" spans="1:6" x14ac:dyDescent="0.3">
      <c r="A3" s="4">
        <f>ROW()-2</f>
        <v>1</v>
      </c>
      <c r="B3" s="4" t="s">
        <v>92</v>
      </c>
      <c r="C3" s="2" t="s">
        <v>41</v>
      </c>
      <c r="D3" s="4">
        <v>0.45</v>
      </c>
      <c r="E3" s="4">
        <v>0.25</v>
      </c>
      <c r="F3" s="4">
        <v>0.3</v>
      </c>
    </row>
    <row r="4" spans="1:6" x14ac:dyDescent="0.3">
      <c r="A4" s="4">
        <f t="shared" ref="A4:A16" si="0">ROW()-2</f>
        <v>2</v>
      </c>
      <c r="B4" s="4" t="s">
        <v>86</v>
      </c>
      <c r="C4" s="2" t="s">
        <v>42</v>
      </c>
      <c r="D4" s="4">
        <v>0.5</v>
      </c>
      <c r="E4" s="4">
        <v>0.35</v>
      </c>
      <c r="F4" s="4">
        <v>0.4</v>
      </c>
    </row>
    <row r="5" spans="1:6" x14ac:dyDescent="0.3">
      <c r="A5" s="4">
        <f t="shared" si="0"/>
        <v>3</v>
      </c>
      <c r="B5" s="4" t="s">
        <v>90</v>
      </c>
      <c r="C5" s="2" t="s">
        <v>43</v>
      </c>
      <c r="D5" s="4">
        <v>0.25</v>
      </c>
      <c r="E5" s="4">
        <v>0.25</v>
      </c>
      <c r="F5" s="4">
        <v>0.3</v>
      </c>
    </row>
    <row r="6" spans="1:6" x14ac:dyDescent="0.3">
      <c r="A6" s="4">
        <f t="shared" si="0"/>
        <v>4</v>
      </c>
      <c r="B6" s="4" t="s">
        <v>81</v>
      </c>
      <c r="C6" s="2" t="s">
        <v>44</v>
      </c>
      <c r="D6" s="4">
        <v>0.4</v>
      </c>
      <c r="E6" s="4">
        <v>0.25</v>
      </c>
      <c r="F6" s="4">
        <v>0.35</v>
      </c>
    </row>
    <row r="7" spans="1:6" x14ac:dyDescent="0.3">
      <c r="A7" s="4">
        <f t="shared" si="0"/>
        <v>5</v>
      </c>
      <c r="B7" s="4" t="s">
        <v>85</v>
      </c>
      <c r="C7" s="2" t="s">
        <v>45</v>
      </c>
      <c r="D7" s="4">
        <v>0.45</v>
      </c>
      <c r="E7" s="4">
        <v>0.4</v>
      </c>
      <c r="F7" s="4">
        <v>0.35</v>
      </c>
    </row>
    <row r="8" spans="1:6" x14ac:dyDescent="0.3">
      <c r="A8" s="4">
        <f t="shared" si="0"/>
        <v>6</v>
      </c>
      <c r="B8" s="4" t="s">
        <v>93</v>
      </c>
      <c r="C8" s="2" t="s">
        <v>46</v>
      </c>
      <c r="D8" s="4">
        <v>0.4</v>
      </c>
      <c r="E8" s="4">
        <v>0.45</v>
      </c>
      <c r="F8" s="4">
        <v>0.5</v>
      </c>
    </row>
    <row r="9" spans="1:6" x14ac:dyDescent="0.3">
      <c r="A9" s="4">
        <f t="shared" si="0"/>
        <v>7</v>
      </c>
      <c r="B9" s="4" t="s">
        <v>84</v>
      </c>
      <c r="C9" s="2" t="s">
        <v>47</v>
      </c>
      <c r="D9" s="4">
        <v>0.4</v>
      </c>
      <c r="E9" s="4">
        <v>0.4</v>
      </c>
      <c r="F9" s="4">
        <v>0.4</v>
      </c>
    </row>
    <row r="10" spans="1:6" x14ac:dyDescent="0.3">
      <c r="A10" s="4">
        <f t="shared" si="0"/>
        <v>8</v>
      </c>
      <c r="B10" s="4" t="s">
        <v>82</v>
      </c>
      <c r="C10" s="2" t="s">
        <v>48</v>
      </c>
      <c r="D10" s="4">
        <v>0.45</v>
      </c>
      <c r="E10" s="4">
        <v>0.4</v>
      </c>
      <c r="F10" s="4">
        <v>0.45</v>
      </c>
    </row>
    <row r="11" spans="1:6" x14ac:dyDescent="0.3">
      <c r="A11" s="4">
        <f>ROW()-2</f>
        <v>9</v>
      </c>
      <c r="B11" s="4" t="s">
        <v>83</v>
      </c>
      <c r="C11" s="2" t="s">
        <v>49</v>
      </c>
      <c r="D11" s="4">
        <v>0.45</v>
      </c>
      <c r="E11" s="4">
        <v>0.4</v>
      </c>
      <c r="F11" s="4">
        <v>0.4</v>
      </c>
    </row>
    <row r="12" spans="1:6" x14ac:dyDescent="0.3">
      <c r="A12" s="4">
        <f t="shared" si="0"/>
        <v>10</v>
      </c>
      <c r="B12" s="4" t="s">
        <v>91</v>
      </c>
      <c r="C12" s="2" t="s">
        <v>50</v>
      </c>
      <c r="D12" s="4">
        <v>0.3</v>
      </c>
      <c r="E12" s="4">
        <v>0.5</v>
      </c>
      <c r="F12" s="4">
        <v>0.45</v>
      </c>
    </row>
    <row r="13" spans="1:6" x14ac:dyDescent="0.3">
      <c r="A13" s="4">
        <f t="shared" si="0"/>
        <v>11</v>
      </c>
      <c r="B13" s="4" t="s">
        <v>87</v>
      </c>
      <c r="C13" s="2" t="s">
        <v>51</v>
      </c>
      <c r="D13" s="4">
        <v>0.4</v>
      </c>
      <c r="E13" s="4">
        <v>0.45</v>
      </c>
      <c r="F13" s="4">
        <v>0.4</v>
      </c>
    </row>
    <row r="14" spans="1:6" x14ac:dyDescent="0.3">
      <c r="A14" s="4">
        <f t="shared" si="0"/>
        <v>12</v>
      </c>
      <c r="B14" s="4" t="s">
        <v>89</v>
      </c>
      <c r="C14" s="2" t="s">
        <v>52</v>
      </c>
      <c r="D14" s="4">
        <v>0.5</v>
      </c>
      <c r="E14" s="4">
        <v>0.5</v>
      </c>
      <c r="F14" s="4">
        <v>0.45</v>
      </c>
    </row>
    <row r="15" spans="1:6" x14ac:dyDescent="0.3">
      <c r="A15" s="4">
        <f t="shared" si="0"/>
        <v>13</v>
      </c>
      <c r="B15" s="4" t="s">
        <v>100</v>
      </c>
      <c r="C15" s="2" t="s">
        <v>53</v>
      </c>
      <c r="D15" s="4">
        <v>0.4</v>
      </c>
      <c r="E15" s="4">
        <v>0.4</v>
      </c>
      <c r="F15" s="4">
        <v>0.35</v>
      </c>
    </row>
    <row r="16" spans="1:6" x14ac:dyDescent="0.3">
      <c r="A16" s="4">
        <f t="shared" si="0"/>
        <v>14</v>
      </c>
      <c r="B16" s="4" t="s">
        <v>88</v>
      </c>
      <c r="C16" s="2" t="s">
        <v>54</v>
      </c>
      <c r="D16" s="4">
        <v>0.35</v>
      </c>
      <c r="E16" s="4">
        <v>0.4</v>
      </c>
      <c r="F16" s="4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4D2D-9AA5-4F92-95C2-468048484288}">
  <dimension ref="A1:D16"/>
  <sheetViews>
    <sheetView workbookViewId="0">
      <selection activeCell="D8" sqref="D8"/>
    </sheetView>
  </sheetViews>
  <sheetFormatPr defaultColWidth="8.796875" defaultRowHeight="15.6" x14ac:dyDescent="0.3"/>
  <cols>
    <col min="1" max="1" width="8.796875" style="1"/>
    <col min="2" max="2" width="13.09765625" style="1" customWidth="1"/>
    <col min="3" max="3" width="19.8984375" style="1" customWidth="1"/>
    <col min="4" max="4" width="14.8984375" style="1" customWidth="1"/>
    <col min="5" max="16384" width="8.796875" style="1"/>
  </cols>
  <sheetData>
    <row r="1" spans="1:4" x14ac:dyDescent="0.3">
      <c r="A1" s="33" t="s">
        <v>55</v>
      </c>
      <c r="B1" s="33"/>
      <c r="C1" s="33"/>
      <c r="D1" s="33"/>
    </row>
    <row r="2" spans="1:4" x14ac:dyDescent="0.3">
      <c r="A2" s="8" t="s">
        <v>10</v>
      </c>
      <c r="B2" s="5" t="s">
        <v>36</v>
      </c>
      <c r="C2" s="5" t="s">
        <v>56</v>
      </c>
      <c r="D2" s="5" t="s">
        <v>57</v>
      </c>
    </row>
    <row r="3" spans="1:4" x14ac:dyDescent="0.3">
      <c r="A3" s="4">
        <f>ROW()-2</f>
        <v>1</v>
      </c>
      <c r="B3" s="4" t="str" cm="1">
        <f t="array" ref="B3:B16">'Điểm thực hành các buổi'!B3:B16</f>
        <v>B1505719</v>
      </c>
      <c r="C3" s="1" t="str" cm="1">
        <f t="array" ref="C3:C16">'Điểm thực hành các buổi'!C3:C16</f>
        <v>Nguyễn Văn Hiếu</v>
      </c>
      <c r="D3" s="4">
        <v>0.5</v>
      </c>
    </row>
    <row r="4" spans="1:4" x14ac:dyDescent="0.3">
      <c r="A4" s="4">
        <f t="shared" ref="A4:A16" si="0">ROW()-2</f>
        <v>2</v>
      </c>
      <c r="B4" s="4" t="str">
        <v>B1505915</v>
      </c>
      <c r="C4" s="1" t="str">
        <v xml:space="preserve">Lý Minh Trí </v>
      </c>
      <c r="D4" s="4">
        <v>1</v>
      </c>
    </row>
    <row r="5" spans="1:4" x14ac:dyDescent="0.3">
      <c r="A5" s="4">
        <f t="shared" si="0"/>
        <v>3</v>
      </c>
      <c r="B5" s="4" t="str">
        <v>B1509874</v>
      </c>
      <c r="C5" s="1" t="str">
        <v>Nguyễn Kiều Mi</v>
      </c>
      <c r="D5" s="4">
        <v>0.5</v>
      </c>
    </row>
    <row r="6" spans="1:4" x14ac:dyDescent="0.3">
      <c r="A6" s="4">
        <f t="shared" si="0"/>
        <v>4</v>
      </c>
      <c r="B6" s="4" t="str">
        <v>B1509929</v>
      </c>
      <c r="C6" s="1" t="str">
        <v>Đặng Duy Linh</v>
      </c>
      <c r="D6" s="4">
        <v>1</v>
      </c>
    </row>
    <row r="7" spans="1:4" x14ac:dyDescent="0.3">
      <c r="A7" s="4">
        <f t="shared" si="0"/>
        <v>5</v>
      </c>
      <c r="B7" s="4" t="str">
        <v>B1605223</v>
      </c>
      <c r="C7" s="1" t="str">
        <v>Lê Thị Trúc Linh</v>
      </c>
      <c r="D7" s="4">
        <v>0.75</v>
      </c>
    </row>
    <row r="8" spans="1:4" x14ac:dyDescent="0.3">
      <c r="A8" s="4">
        <f t="shared" si="0"/>
        <v>6</v>
      </c>
      <c r="B8" s="4" t="str">
        <v>B1605235</v>
      </c>
      <c r="C8" s="1" t="str">
        <v xml:space="preserve">Phạm Thị Huỳnh </v>
      </c>
      <c r="D8" s="4">
        <v>1.2</v>
      </c>
    </row>
    <row r="9" spans="1:4" x14ac:dyDescent="0.3">
      <c r="A9" s="4">
        <f t="shared" si="0"/>
        <v>7</v>
      </c>
      <c r="B9" s="4" t="str">
        <v>B1605249</v>
      </c>
      <c r="C9" s="1" t="str">
        <v xml:space="preserve">Lê Minh Thông </v>
      </c>
      <c r="D9" s="4">
        <v>1</v>
      </c>
    </row>
    <row r="10" spans="1:4" x14ac:dyDescent="0.3">
      <c r="A10" s="4">
        <f t="shared" si="0"/>
        <v>8</v>
      </c>
      <c r="B10" s="4" t="str">
        <v>B1605285</v>
      </c>
      <c r="C10" s="1" t="str">
        <v xml:space="preserve">Huỳnh Thị Diễm </v>
      </c>
      <c r="D10" s="4">
        <v>0</v>
      </c>
    </row>
    <row r="11" spans="1:4" x14ac:dyDescent="0.3">
      <c r="A11" s="4">
        <f t="shared" si="0"/>
        <v>9</v>
      </c>
      <c r="B11" s="4" t="str">
        <v>B1605291</v>
      </c>
      <c r="C11" s="1" t="str">
        <v xml:space="preserve">Trần Thanh Nguyên </v>
      </c>
      <c r="D11" s="4">
        <v>0.75</v>
      </c>
    </row>
    <row r="12" spans="1:4" x14ac:dyDescent="0.3">
      <c r="A12" s="4">
        <f t="shared" si="0"/>
        <v>10</v>
      </c>
      <c r="B12" s="4" t="str">
        <v>B1605344</v>
      </c>
      <c r="C12" s="1" t="str">
        <v>Nguyễn Thị Đào</v>
      </c>
      <c r="D12" s="4">
        <v>0.3</v>
      </c>
    </row>
    <row r="13" spans="1:4" x14ac:dyDescent="0.3">
      <c r="A13" s="4">
        <f t="shared" si="0"/>
        <v>11</v>
      </c>
      <c r="B13" s="4" t="str">
        <v>B1607025</v>
      </c>
      <c r="C13" s="1" t="str">
        <v>Nguyễn Chí Thanh</v>
      </c>
      <c r="D13" s="4">
        <v>0.3</v>
      </c>
    </row>
    <row r="14" spans="1:4" x14ac:dyDescent="0.3">
      <c r="A14" s="4">
        <f t="shared" si="0"/>
        <v>12</v>
      </c>
      <c r="B14" s="4" t="str">
        <v>B1609759</v>
      </c>
      <c r="C14" s="1" t="str">
        <v xml:space="preserve">Nguyễn Hải Anh </v>
      </c>
      <c r="D14" s="4">
        <v>1.5</v>
      </c>
    </row>
    <row r="15" spans="1:4" x14ac:dyDescent="0.3">
      <c r="A15" s="4">
        <f t="shared" si="0"/>
        <v>13</v>
      </c>
      <c r="B15" s="4" t="str">
        <v>B1609765</v>
      </c>
      <c r="C15" s="1" t="str">
        <v>Trần Nam Dương</v>
      </c>
      <c r="D15" s="4">
        <v>1.35</v>
      </c>
    </row>
    <row r="16" spans="1:4" x14ac:dyDescent="0.3">
      <c r="A16" s="4">
        <f t="shared" si="0"/>
        <v>14</v>
      </c>
      <c r="B16" s="4" t="str">
        <v>B1609773</v>
      </c>
      <c r="C16" s="1" t="str">
        <v>Nguyễn Duy Khanh</v>
      </c>
      <c r="D16" s="4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4257-14B9-4A72-A6A3-6461A7CCD0A2}">
  <dimension ref="A1:D16"/>
  <sheetViews>
    <sheetView workbookViewId="0">
      <selection activeCell="H8" sqref="H8:H9"/>
    </sheetView>
  </sheetViews>
  <sheetFormatPr defaultColWidth="8.796875" defaultRowHeight="15.6" x14ac:dyDescent="0.3"/>
  <cols>
    <col min="1" max="1" width="5.5" style="1" customWidth="1"/>
    <col min="2" max="2" width="15.69921875" style="1" customWidth="1"/>
    <col min="3" max="3" width="20" style="1" customWidth="1"/>
    <col min="4" max="4" width="18.19921875" style="1" customWidth="1"/>
    <col min="5" max="16384" width="8.796875" style="1"/>
  </cols>
  <sheetData>
    <row r="1" spans="1:4" x14ac:dyDescent="0.3">
      <c r="A1" s="30" t="s">
        <v>58</v>
      </c>
      <c r="B1" s="34"/>
      <c r="C1" s="34"/>
      <c r="D1" s="35"/>
    </row>
    <row r="2" spans="1:4" x14ac:dyDescent="0.3">
      <c r="A2" s="5" t="s">
        <v>10</v>
      </c>
      <c r="B2" s="5" t="s">
        <v>36</v>
      </c>
      <c r="C2" s="5" t="s">
        <v>56</v>
      </c>
      <c r="D2" s="16" t="s">
        <v>59</v>
      </c>
    </row>
    <row r="3" spans="1:4" x14ac:dyDescent="0.3">
      <c r="A3" s="4">
        <f>ROW()-2</f>
        <v>1</v>
      </c>
      <c r="B3" s="4" t="str" cm="1">
        <f t="array" ref="B3:B16">'Điểm thực hành các buổi'!B3:B16</f>
        <v>B1505719</v>
      </c>
      <c r="C3" s="2" t="str" cm="1">
        <f t="array" ref="C3:C16">'Điểm thực hành các buổi'!C3:C16</f>
        <v>Nguyễn Văn Hiếu</v>
      </c>
      <c r="D3" s="4">
        <v>4.2</v>
      </c>
    </row>
    <row r="4" spans="1:4" x14ac:dyDescent="0.3">
      <c r="A4" s="4">
        <f t="shared" ref="A4:A16" si="0">ROW()-2</f>
        <v>2</v>
      </c>
      <c r="B4" s="4" t="str">
        <v>B1505915</v>
      </c>
      <c r="C4" s="2" t="str">
        <v xml:space="preserve">Lý Minh Trí </v>
      </c>
      <c r="D4" s="4">
        <v>5.8</v>
      </c>
    </row>
    <row r="5" spans="1:4" x14ac:dyDescent="0.3">
      <c r="A5" s="4">
        <f t="shared" si="0"/>
        <v>3</v>
      </c>
      <c r="B5" s="4" t="str">
        <v>B1509874</v>
      </c>
      <c r="C5" s="2" t="str">
        <v>Nguyễn Kiều Mi</v>
      </c>
      <c r="D5" s="4">
        <v>5.8</v>
      </c>
    </row>
    <row r="6" spans="1:4" x14ac:dyDescent="0.3">
      <c r="A6" s="4">
        <f t="shared" si="0"/>
        <v>4</v>
      </c>
      <c r="B6" s="4" t="str">
        <v>B1509929</v>
      </c>
      <c r="C6" s="2" t="str">
        <v>Đặng Duy Linh</v>
      </c>
      <c r="D6" s="4">
        <v>4.5</v>
      </c>
    </row>
    <row r="7" spans="1:4" x14ac:dyDescent="0.3">
      <c r="A7" s="4">
        <f t="shared" si="0"/>
        <v>5</v>
      </c>
      <c r="B7" s="4" t="str">
        <v>B1605223</v>
      </c>
      <c r="C7" s="2" t="str">
        <v>Lê Thị Trúc Linh</v>
      </c>
      <c r="D7" s="4">
        <v>5.5</v>
      </c>
    </row>
    <row r="8" spans="1:4" x14ac:dyDescent="0.3">
      <c r="A8" s="4">
        <f t="shared" si="0"/>
        <v>6</v>
      </c>
      <c r="B8" s="4" t="str">
        <v>B1605235</v>
      </c>
      <c r="C8" s="2" t="str">
        <v xml:space="preserve">Phạm Thị Huỳnh </v>
      </c>
      <c r="D8" s="4">
        <v>7.5</v>
      </c>
    </row>
    <row r="9" spans="1:4" x14ac:dyDescent="0.3">
      <c r="A9" s="4">
        <f t="shared" si="0"/>
        <v>7</v>
      </c>
      <c r="B9" s="4" t="str">
        <v>B1605249</v>
      </c>
      <c r="C9" s="2" t="str">
        <v xml:space="preserve">Lê Minh Thông </v>
      </c>
      <c r="D9" s="4">
        <v>5.3</v>
      </c>
    </row>
    <row r="10" spans="1:4" x14ac:dyDescent="0.3">
      <c r="A10" s="4">
        <f t="shared" si="0"/>
        <v>8</v>
      </c>
      <c r="B10" s="4" t="str">
        <v>B1605285</v>
      </c>
      <c r="C10" s="2" t="str">
        <v xml:space="preserve">Huỳnh Thị Diễm </v>
      </c>
      <c r="D10" s="4">
        <v>6.8</v>
      </c>
    </row>
    <row r="11" spans="1:4" x14ac:dyDescent="0.3">
      <c r="A11" s="4">
        <f t="shared" si="0"/>
        <v>9</v>
      </c>
      <c r="B11" s="4" t="str">
        <v>B1605291</v>
      </c>
      <c r="C11" s="2" t="str">
        <v xml:space="preserve">Trần Thanh Nguyên </v>
      </c>
      <c r="D11" s="4">
        <v>6.3</v>
      </c>
    </row>
    <row r="12" spans="1:4" x14ac:dyDescent="0.3">
      <c r="A12" s="4">
        <f t="shared" si="0"/>
        <v>10</v>
      </c>
      <c r="B12" s="4" t="str">
        <v>B1605344</v>
      </c>
      <c r="C12" s="1" t="str">
        <v>Nguyễn Thị Đào</v>
      </c>
      <c r="D12" s="4">
        <v>8.3000000000000007</v>
      </c>
    </row>
    <row r="13" spans="1:4" x14ac:dyDescent="0.3">
      <c r="A13" s="4">
        <f t="shared" si="0"/>
        <v>11</v>
      </c>
      <c r="B13" s="4" t="str">
        <v>B1607025</v>
      </c>
      <c r="C13" s="2" t="str">
        <v>Nguyễn Chí Thanh</v>
      </c>
      <c r="D13" s="4">
        <v>-3</v>
      </c>
    </row>
    <row r="14" spans="1:4" x14ac:dyDescent="0.3">
      <c r="A14" s="4">
        <f t="shared" si="0"/>
        <v>12</v>
      </c>
      <c r="B14" s="4" t="str">
        <v>B1609759</v>
      </c>
      <c r="C14" s="2" t="str">
        <v xml:space="preserve">Nguyễn Hải Anh </v>
      </c>
      <c r="D14" s="4">
        <v>7</v>
      </c>
    </row>
    <row r="15" spans="1:4" x14ac:dyDescent="0.3">
      <c r="A15" s="4">
        <f t="shared" si="0"/>
        <v>13</v>
      </c>
      <c r="B15" s="4" t="str">
        <v>B1609765</v>
      </c>
      <c r="C15" s="2" t="str">
        <v>Trần Nam Dương</v>
      </c>
      <c r="D15" s="4">
        <v>-3</v>
      </c>
    </row>
    <row r="16" spans="1:4" x14ac:dyDescent="0.3">
      <c r="A16" s="4">
        <f t="shared" si="0"/>
        <v>14</v>
      </c>
      <c r="B16" s="4" t="str">
        <v>B1609773</v>
      </c>
      <c r="C16" s="2" t="str">
        <v>Nguyễn Duy Khanh</v>
      </c>
      <c r="D16" s="4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1F34-BFF7-4301-AAAB-736E5A4A6DA4}">
  <dimension ref="A1:G27"/>
  <sheetViews>
    <sheetView zoomScale="85" zoomScaleNormal="85" workbookViewId="0">
      <selection activeCell="G4" sqref="G4"/>
    </sheetView>
  </sheetViews>
  <sheetFormatPr defaultColWidth="8.796875" defaultRowHeight="15.6" x14ac:dyDescent="0.3"/>
  <cols>
    <col min="1" max="1" width="15.296875" style="1" customWidth="1"/>
    <col min="2" max="2" width="19.19921875" style="1" customWidth="1"/>
    <col min="3" max="3" width="20.69921875" style="1" customWidth="1"/>
    <col min="4" max="4" width="3.5" style="1" customWidth="1"/>
    <col min="5" max="5" width="21.69921875" style="1" customWidth="1"/>
    <col min="6" max="6" width="19.5" style="1" customWidth="1"/>
    <col min="7" max="7" width="12.3984375" style="1" customWidth="1"/>
    <col min="8" max="16384" width="8.796875" style="1"/>
  </cols>
  <sheetData>
    <row r="1" spans="1:7" x14ac:dyDescent="0.3">
      <c r="A1" s="45" t="s">
        <v>60</v>
      </c>
      <c r="B1" s="45"/>
      <c r="C1" s="45"/>
      <c r="E1" s="46" t="s">
        <v>70</v>
      </c>
      <c r="F1" s="47"/>
      <c r="G1" s="24"/>
    </row>
    <row r="2" spans="1:7" x14ac:dyDescent="0.3">
      <c r="A2" s="9" t="s">
        <v>74</v>
      </c>
      <c r="B2" s="9" t="s">
        <v>61</v>
      </c>
      <c r="C2" s="9" t="s">
        <v>75</v>
      </c>
      <c r="E2" s="9" t="s">
        <v>71</v>
      </c>
      <c r="F2" s="9" t="s">
        <v>72</v>
      </c>
      <c r="G2" s="25"/>
    </row>
    <row r="3" spans="1:7" x14ac:dyDescent="0.3">
      <c r="A3" s="10">
        <v>0</v>
      </c>
      <c r="B3" s="10" t="s">
        <v>62</v>
      </c>
      <c r="C3" s="4">
        <v>0</v>
      </c>
      <c r="E3" s="4">
        <v>0</v>
      </c>
      <c r="F3" s="4">
        <v>1</v>
      </c>
      <c r="G3" s="4"/>
    </row>
    <row r="4" spans="1:7" x14ac:dyDescent="0.3">
      <c r="A4" s="10">
        <v>4</v>
      </c>
      <c r="B4" s="10" t="s">
        <v>63</v>
      </c>
      <c r="C4" s="4">
        <v>1</v>
      </c>
      <c r="E4" s="4">
        <v>1</v>
      </c>
      <c r="F4" s="4">
        <v>0.5</v>
      </c>
      <c r="G4" s="4"/>
    </row>
    <row r="5" spans="1:7" x14ac:dyDescent="0.3">
      <c r="A5" s="10">
        <v>5</v>
      </c>
      <c r="B5" s="10" t="s">
        <v>64</v>
      </c>
      <c r="C5" s="4">
        <v>1.5</v>
      </c>
      <c r="E5" s="4">
        <v>2</v>
      </c>
      <c r="F5" s="4">
        <v>0.25</v>
      </c>
      <c r="G5" s="4"/>
    </row>
    <row r="6" spans="1:7" x14ac:dyDescent="0.3">
      <c r="A6" s="10">
        <v>5.5</v>
      </c>
      <c r="B6" s="10" t="s">
        <v>65</v>
      </c>
      <c r="C6" s="4">
        <v>2</v>
      </c>
    </row>
    <row r="7" spans="1:7" x14ac:dyDescent="0.3">
      <c r="A7" s="10">
        <v>6.5</v>
      </c>
      <c r="B7" s="10" t="s">
        <v>66</v>
      </c>
      <c r="C7" s="4">
        <v>2.5</v>
      </c>
    </row>
    <row r="8" spans="1:7" x14ac:dyDescent="0.3">
      <c r="A8" s="10">
        <v>7</v>
      </c>
      <c r="B8" s="10" t="s">
        <v>67</v>
      </c>
      <c r="C8" s="4">
        <v>3</v>
      </c>
    </row>
    <row r="9" spans="1:7" x14ac:dyDescent="0.3">
      <c r="A9" s="10">
        <v>8</v>
      </c>
      <c r="B9" s="10" t="s">
        <v>68</v>
      </c>
      <c r="C9" s="4">
        <v>3.5</v>
      </c>
    </row>
    <row r="10" spans="1:7" x14ac:dyDescent="0.3">
      <c r="A10" s="10">
        <v>9</v>
      </c>
      <c r="B10" s="10" t="s">
        <v>69</v>
      </c>
      <c r="C10" s="4">
        <v>4</v>
      </c>
    </row>
    <row r="11" spans="1:7" x14ac:dyDescent="0.3">
      <c r="A11" s="42"/>
      <c r="B11" s="43"/>
      <c r="C11" s="44"/>
      <c r="D11" s="11"/>
      <c r="E11" s="42"/>
      <c r="F11" s="44"/>
      <c r="G11" s="23"/>
    </row>
    <row r="12" spans="1:7" x14ac:dyDescent="0.3">
      <c r="A12" s="46" t="s">
        <v>73</v>
      </c>
      <c r="B12" s="48"/>
      <c r="C12" s="47"/>
      <c r="E12" s="46" t="s">
        <v>76</v>
      </c>
      <c r="F12" s="47"/>
      <c r="G12" s="24"/>
    </row>
    <row r="13" spans="1:7" x14ac:dyDescent="0.3">
      <c r="A13" s="15" t="s">
        <v>10</v>
      </c>
      <c r="B13" s="15" t="s">
        <v>36</v>
      </c>
      <c r="C13" s="15" t="s">
        <v>37</v>
      </c>
      <c r="E13" s="9" t="s">
        <v>77</v>
      </c>
      <c r="F13" s="9" t="s">
        <v>78</v>
      </c>
      <c r="G13" s="25"/>
    </row>
    <row r="14" spans="1:7" x14ac:dyDescent="0.3">
      <c r="A14" s="4">
        <f>ROW()-13</f>
        <v>1</v>
      </c>
      <c r="B14" s="2" t="s">
        <v>81</v>
      </c>
      <c r="C14" s="1" t="s">
        <v>44</v>
      </c>
      <c r="E14" s="1" t="s">
        <v>69</v>
      </c>
      <c r="F14" s="1">
        <f>COUNTIF($J$14:$J$27,E14)</f>
        <v>0</v>
      </c>
      <c r="G14" s="23"/>
    </row>
    <row r="15" spans="1:7" x14ac:dyDescent="0.3">
      <c r="A15" s="4">
        <f t="shared" ref="A15:A27" si="0">ROW()-13</f>
        <v>2</v>
      </c>
      <c r="B15" s="2" t="s">
        <v>82</v>
      </c>
      <c r="C15" s="1" t="s">
        <v>94</v>
      </c>
      <c r="E15" s="1" t="s">
        <v>68</v>
      </c>
      <c r="F15" s="1">
        <f t="shared" ref="F15" si="1">COUNTIF($J$14:$J$27,E15)</f>
        <v>0</v>
      </c>
    </row>
    <row r="16" spans="1:7" x14ac:dyDescent="0.3">
      <c r="A16" s="4">
        <f t="shared" si="0"/>
        <v>3</v>
      </c>
      <c r="B16" s="2" t="s">
        <v>83</v>
      </c>
      <c r="C16" s="1" t="s">
        <v>49</v>
      </c>
      <c r="E16" s="1" t="s">
        <v>67</v>
      </c>
      <c r="F16" s="1">
        <v>2</v>
      </c>
    </row>
    <row r="17" spans="1:7" x14ac:dyDescent="0.3">
      <c r="A17" s="4">
        <f t="shared" si="0"/>
        <v>4</v>
      </c>
      <c r="B17" s="2" t="s">
        <v>84</v>
      </c>
      <c r="C17" s="1" t="s">
        <v>47</v>
      </c>
      <c r="E17" s="1" t="s">
        <v>66</v>
      </c>
      <c r="F17" s="1">
        <v>1</v>
      </c>
    </row>
    <row r="18" spans="1:7" x14ac:dyDescent="0.3">
      <c r="A18" s="4">
        <f t="shared" si="0"/>
        <v>5</v>
      </c>
      <c r="B18" s="2" t="s">
        <v>85</v>
      </c>
      <c r="C18" s="1" t="s">
        <v>45</v>
      </c>
      <c r="E18" s="1" t="s">
        <v>65</v>
      </c>
      <c r="F18" s="1">
        <v>3</v>
      </c>
    </row>
    <row r="19" spans="1:7" x14ac:dyDescent="0.3">
      <c r="A19" s="4">
        <f t="shared" si="0"/>
        <v>6</v>
      </c>
      <c r="B19" s="2" t="s">
        <v>86</v>
      </c>
      <c r="C19" s="1" t="s">
        <v>95</v>
      </c>
      <c r="E19" s="1" t="s">
        <v>64</v>
      </c>
      <c r="F19" s="1">
        <v>2</v>
      </c>
    </row>
    <row r="20" spans="1:7" x14ac:dyDescent="0.3">
      <c r="A20" s="4">
        <f t="shared" si="0"/>
        <v>7</v>
      </c>
      <c r="B20" s="2" t="s">
        <v>87</v>
      </c>
      <c r="C20" s="1" t="s">
        <v>51</v>
      </c>
      <c r="E20" s="1" t="s">
        <v>63</v>
      </c>
      <c r="F20" s="1">
        <v>2</v>
      </c>
    </row>
    <row r="21" spans="1:7" x14ac:dyDescent="0.3">
      <c r="A21" s="4">
        <f t="shared" si="0"/>
        <v>8</v>
      </c>
      <c r="B21" s="2" t="s">
        <v>88</v>
      </c>
      <c r="C21" s="1" t="s">
        <v>54</v>
      </c>
      <c r="E21" s="1" t="s">
        <v>62</v>
      </c>
      <c r="F21" s="1">
        <v>3</v>
      </c>
    </row>
    <row r="22" spans="1:7" x14ac:dyDescent="0.3">
      <c r="A22" s="4">
        <f t="shared" si="0"/>
        <v>9</v>
      </c>
      <c r="B22" s="2" t="s">
        <v>89</v>
      </c>
      <c r="C22" s="1" t="s">
        <v>96</v>
      </c>
      <c r="E22" s="12"/>
      <c r="F22" s="13"/>
      <c r="G22" s="13"/>
    </row>
    <row r="23" spans="1:7" x14ac:dyDescent="0.3">
      <c r="A23" s="4">
        <f t="shared" si="0"/>
        <v>10</v>
      </c>
      <c r="B23" s="2" t="s">
        <v>90</v>
      </c>
      <c r="C23" s="1" t="s">
        <v>97</v>
      </c>
      <c r="E23" s="46" t="s">
        <v>102</v>
      </c>
      <c r="F23" s="47"/>
      <c r="G23" s="24"/>
    </row>
    <row r="24" spans="1:7" x14ac:dyDescent="0.3">
      <c r="A24" s="4">
        <f t="shared" si="0"/>
        <v>11</v>
      </c>
      <c r="B24" s="2" t="s">
        <v>91</v>
      </c>
      <c r="C24" s="1" t="s">
        <v>98</v>
      </c>
      <c r="E24" s="36" t="s">
        <v>80</v>
      </c>
      <c r="F24" s="39">
        <v>2</v>
      </c>
      <c r="G24" s="26"/>
    </row>
    <row r="25" spans="1:7" x14ac:dyDescent="0.3">
      <c r="A25" s="4">
        <f t="shared" si="0"/>
        <v>12</v>
      </c>
      <c r="B25" s="2" t="s">
        <v>92</v>
      </c>
      <c r="C25" s="1" t="s">
        <v>41</v>
      </c>
      <c r="E25" s="37"/>
      <c r="F25" s="40"/>
      <c r="G25" s="18"/>
    </row>
    <row r="26" spans="1:7" x14ac:dyDescent="0.3">
      <c r="A26" s="4">
        <f t="shared" si="0"/>
        <v>13</v>
      </c>
      <c r="B26" s="2" t="s">
        <v>93</v>
      </c>
      <c r="C26" s="1" t="s">
        <v>99</v>
      </c>
      <c r="E26" s="38"/>
      <c r="F26" s="41"/>
      <c r="G26" s="19"/>
    </row>
    <row r="27" spans="1:7" x14ac:dyDescent="0.3">
      <c r="A27" s="4">
        <f t="shared" si="0"/>
        <v>14</v>
      </c>
      <c r="B27" s="2" t="s">
        <v>100</v>
      </c>
      <c r="C27" s="1" t="s">
        <v>53</v>
      </c>
      <c r="E27" s="14" t="s">
        <v>79</v>
      </c>
      <c r="F27" s="3">
        <v>0</v>
      </c>
      <c r="G27" s="3"/>
    </row>
  </sheetData>
  <mergeCells count="9">
    <mergeCell ref="E24:E26"/>
    <mergeCell ref="F24:F26"/>
    <mergeCell ref="A11:C11"/>
    <mergeCell ref="E11:F11"/>
    <mergeCell ref="A1:C1"/>
    <mergeCell ref="E1:F1"/>
    <mergeCell ref="A12:C12"/>
    <mergeCell ref="E12:F12"/>
    <mergeCell ref="E23:F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7DB2-8847-40F5-B244-885C3A00B13C}">
  <dimension ref="A1:K3"/>
  <sheetViews>
    <sheetView workbookViewId="0">
      <selection activeCell="C1" sqref="C1"/>
    </sheetView>
  </sheetViews>
  <sheetFormatPr defaultRowHeight="15.6" x14ac:dyDescent="0.3"/>
  <cols>
    <col min="3" max="3" width="16.19921875" customWidth="1"/>
  </cols>
  <sheetData>
    <row r="1" spans="1:11" ht="78" x14ac:dyDescent="0.3">
      <c r="A1" s="6" t="s">
        <v>11</v>
      </c>
      <c r="B1" s="7" t="s">
        <v>36</v>
      </c>
      <c r="C1" s="7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</row>
    <row r="2" spans="1:11" x14ac:dyDescent="0.3">
      <c r="A2" s="4">
        <v>6</v>
      </c>
      <c r="B2" s="4" t="s">
        <v>26</v>
      </c>
      <c r="C2" s="1" t="s">
        <v>99</v>
      </c>
      <c r="D2" s="1">
        <v>0.4</v>
      </c>
      <c r="E2" s="1">
        <v>0.45</v>
      </c>
      <c r="F2" s="1">
        <v>0.5</v>
      </c>
      <c r="G2" s="1">
        <v>1.2</v>
      </c>
      <c r="H2" s="10">
        <v>7.5</v>
      </c>
      <c r="I2" s="1">
        <v>7.1</v>
      </c>
      <c r="J2" s="20">
        <v>7.1</v>
      </c>
      <c r="K2" s="21" t="s">
        <v>67</v>
      </c>
    </row>
    <row r="3" spans="1:11" x14ac:dyDescent="0.3">
      <c r="A3" s="4">
        <v>12</v>
      </c>
      <c r="B3" s="4" t="s">
        <v>31</v>
      </c>
      <c r="C3" s="1" t="s">
        <v>96</v>
      </c>
      <c r="D3" s="1">
        <v>0.5</v>
      </c>
      <c r="E3" s="1">
        <v>0.5</v>
      </c>
      <c r="F3" s="1">
        <v>0.45</v>
      </c>
      <c r="G3" s="1">
        <v>1.5</v>
      </c>
      <c r="H3" s="10">
        <v>7</v>
      </c>
      <c r="I3" s="1">
        <v>7.2</v>
      </c>
      <c r="J3" s="20">
        <v>7.2</v>
      </c>
      <c r="K3" s="21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3E41-E5BA-4136-83DC-1CFD73BFF8A2}">
  <dimension ref="A1:K13"/>
  <sheetViews>
    <sheetView workbookViewId="0">
      <selection activeCell="D1" sqref="D1"/>
    </sheetView>
  </sheetViews>
  <sheetFormatPr defaultRowHeight="15.6" x14ac:dyDescent="0.3"/>
  <cols>
    <col min="2" max="2" width="12" customWidth="1"/>
    <col min="3" max="3" width="17.09765625" customWidth="1"/>
  </cols>
  <sheetData>
    <row r="1" spans="1:11" ht="78" x14ac:dyDescent="0.3">
      <c r="A1" s="6" t="s">
        <v>11</v>
      </c>
      <c r="B1" s="7" t="s">
        <v>36</v>
      </c>
      <c r="C1" s="7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</row>
    <row r="2" spans="1:11" x14ac:dyDescent="0.3">
      <c r="A2" s="4">
        <v>1</v>
      </c>
      <c r="B2" s="4" t="s">
        <v>21</v>
      </c>
      <c r="C2" s="1" t="s">
        <v>41</v>
      </c>
      <c r="D2" s="1">
        <v>0.45</v>
      </c>
      <c r="E2" s="1">
        <v>0.25</v>
      </c>
      <c r="F2" s="1">
        <v>0.3</v>
      </c>
      <c r="G2" s="1">
        <v>0.5</v>
      </c>
      <c r="H2" s="10">
        <v>4.2</v>
      </c>
      <c r="I2" s="1">
        <v>5.7</v>
      </c>
      <c r="J2" s="20">
        <v>5.7</v>
      </c>
      <c r="K2" s="21" t="s">
        <v>65</v>
      </c>
    </row>
    <row r="3" spans="1:11" x14ac:dyDescent="0.3">
      <c r="A3" s="4">
        <v>2</v>
      </c>
      <c r="B3" s="4" t="s">
        <v>22</v>
      </c>
      <c r="C3" s="1" t="s">
        <v>95</v>
      </c>
      <c r="D3" s="1">
        <v>0.5</v>
      </c>
      <c r="E3" s="1">
        <v>0.35</v>
      </c>
      <c r="F3" s="1">
        <v>0.4</v>
      </c>
      <c r="G3" s="1">
        <v>1</v>
      </c>
      <c r="H3" s="10">
        <v>5.8</v>
      </c>
      <c r="I3" s="1">
        <v>5.7</v>
      </c>
      <c r="J3" s="20">
        <v>5.7</v>
      </c>
      <c r="K3" s="21" t="s">
        <v>65</v>
      </c>
    </row>
    <row r="4" spans="1:11" x14ac:dyDescent="0.3">
      <c r="A4" s="4">
        <v>3</v>
      </c>
      <c r="B4" s="4" t="s">
        <v>23</v>
      </c>
      <c r="C4" s="1" t="s">
        <v>97</v>
      </c>
      <c r="D4" s="1">
        <v>0.25</v>
      </c>
      <c r="E4" s="1">
        <v>0.25</v>
      </c>
      <c r="F4" s="1">
        <v>0.3</v>
      </c>
      <c r="G4" s="1">
        <v>0.5</v>
      </c>
      <c r="H4" s="10">
        <v>5.8</v>
      </c>
      <c r="I4" s="1">
        <v>4.8</v>
      </c>
      <c r="J4" s="20">
        <v>4.8</v>
      </c>
      <c r="K4" s="21" t="s">
        <v>63</v>
      </c>
    </row>
    <row r="5" spans="1:11" x14ac:dyDescent="0.3">
      <c r="A5" s="4">
        <v>4</v>
      </c>
      <c r="B5" s="4" t="s">
        <v>24</v>
      </c>
      <c r="C5" s="1" t="s">
        <v>44</v>
      </c>
      <c r="D5" s="1">
        <v>0.4</v>
      </c>
      <c r="E5" s="1">
        <v>0.25</v>
      </c>
      <c r="F5" s="1">
        <v>0.35</v>
      </c>
      <c r="G5" s="1">
        <v>1</v>
      </c>
      <c r="H5" s="10">
        <v>4.5</v>
      </c>
      <c r="I5" s="1">
        <v>4.7</v>
      </c>
      <c r="J5" s="20">
        <v>4.7</v>
      </c>
      <c r="K5" s="21" t="s">
        <v>63</v>
      </c>
    </row>
    <row r="6" spans="1:11" x14ac:dyDescent="0.3">
      <c r="A6" s="4">
        <v>5</v>
      </c>
      <c r="B6" s="4" t="s">
        <v>25</v>
      </c>
      <c r="C6" s="1" t="s">
        <v>45</v>
      </c>
      <c r="D6" s="1">
        <v>0.45</v>
      </c>
      <c r="E6" s="1">
        <v>0.4</v>
      </c>
      <c r="F6" s="1">
        <v>0.35</v>
      </c>
      <c r="G6" s="1">
        <v>0.75</v>
      </c>
      <c r="H6" s="10">
        <v>5.5</v>
      </c>
      <c r="I6" s="1">
        <v>5.3</v>
      </c>
      <c r="J6" s="20">
        <v>5.3</v>
      </c>
      <c r="K6" s="21" t="s">
        <v>64</v>
      </c>
    </row>
    <row r="7" spans="1:11" x14ac:dyDescent="0.3">
      <c r="A7" s="4">
        <v>7</v>
      </c>
      <c r="B7" s="4" t="s">
        <v>27</v>
      </c>
      <c r="C7" s="1" t="s">
        <v>47</v>
      </c>
      <c r="D7" s="1">
        <v>0.4</v>
      </c>
      <c r="E7" s="1">
        <v>0.4</v>
      </c>
      <c r="F7" s="1">
        <v>0.4</v>
      </c>
      <c r="G7" s="1">
        <v>1</v>
      </c>
      <c r="H7" s="10">
        <v>5.3</v>
      </c>
      <c r="I7" s="1">
        <v>5.4</v>
      </c>
      <c r="J7" s="20">
        <v>5.4</v>
      </c>
      <c r="K7" s="21" t="s">
        <v>64</v>
      </c>
    </row>
    <row r="8" spans="1:11" x14ac:dyDescent="0.3">
      <c r="A8" s="4">
        <v>8</v>
      </c>
      <c r="B8" s="4" t="s">
        <v>101</v>
      </c>
      <c r="C8" s="1" t="s">
        <v>94</v>
      </c>
      <c r="D8" s="1">
        <v>0.45</v>
      </c>
      <c r="E8" s="1">
        <v>0.4</v>
      </c>
      <c r="F8" s="1">
        <v>0.45</v>
      </c>
      <c r="G8" s="1">
        <v>0</v>
      </c>
      <c r="H8" s="10">
        <v>6.8</v>
      </c>
      <c r="I8" s="1">
        <v>5.4</v>
      </c>
      <c r="J8" s="20">
        <v>0</v>
      </c>
      <c r="K8" s="21" t="s">
        <v>62</v>
      </c>
    </row>
    <row r="9" spans="1:11" x14ac:dyDescent="0.3">
      <c r="A9" s="4">
        <v>9</v>
      </c>
      <c r="B9" s="4" t="s">
        <v>28</v>
      </c>
      <c r="C9" s="1" t="s">
        <v>49</v>
      </c>
      <c r="D9" s="1">
        <v>0.45</v>
      </c>
      <c r="E9" s="1">
        <v>0.4</v>
      </c>
      <c r="F9" s="1">
        <v>0.4</v>
      </c>
      <c r="G9" s="1">
        <v>0.75</v>
      </c>
      <c r="H9" s="10">
        <v>6.3</v>
      </c>
      <c r="I9" s="1">
        <v>5.8</v>
      </c>
      <c r="J9" s="20">
        <v>5.8</v>
      </c>
      <c r="K9" s="21" t="s">
        <v>65</v>
      </c>
    </row>
    <row r="10" spans="1:11" x14ac:dyDescent="0.3">
      <c r="A10" s="4">
        <v>10</v>
      </c>
      <c r="B10" s="4" t="s">
        <v>29</v>
      </c>
      <c r="C10" s="1" t="s">
        <v>98</v>
      </c>
      <c r="D10" s="1">
        <v>0.3</v>
      </c>
      <c r="E10" s="1">
        <v>0.5</v>
      </c>
      <c r="F10" s="1">
        <v>0.45</v>
      </c>
      <c r="G10" s="1">
        <v>0.3</v>
      </c>
      <c r="H10" s="10">
        <v>8.3000000000000007</v>
      </c>
      <c r="I10" s="1">
        <v>6.5</v>
      </c>
      <c r="J10" s="20">
        <v>6.5</v>
      </c>
      <c r="K10" s="21" t="s">
        <v>66</v>
      </c>
    </row>
    <row r="11" spans="1:11" x14ac:dyDescent="0.3">
      <c r="A11" s="4">
        <v>11</v>
      </c>
      <c r="B11" s="4" t="s">
        <v>30</v>
      </c>
      <c r="C11" s="1" t="s">
        <v>51</v>
      </c>
      <c r="D11" s="1">
        <v>0.4</v>
      </c>
      <c r="E11" s="1">
        <v>0.45</v>
      </c>
      <c r="F11" s="1">
        <v>0.4</v>
      </c>
      <c r="G11" s="1">
        <v>0.3</v>
      </c>
      <c r="H11" s="10">
        <v>-3</v>
      </c>
      <c r="I11" s="1">
        <v>0</v>
      </c>
      <c r="J11" s="20">
        <v>0</v>
      </c>
      <c r="K11" s="21" t="s">
        <v>62</v>
      </c>
    </row>
    <row r="12" spans="1:11" x14ac:dyDescent="0.3">
      <c r="A12" s="4">
        <v>13</v>
      </c>
      <c r="B12" s="4" t="s">
        <v>32</v>
      </c>
      <c r="C12" s="1" t="s">
        <v>53</v>
      </c>
      <c r="D12" s="1">
        <v>0.4</v>
      </c>
      <c r="E12" s="1">
        <v>0.4</v>
      </c>
      <c r="F12" s="1">
        <v>0.35</v>
      </c>
      <c r="G12" s="1">
        <v>1.35</v>
      </c>
      <c r="H12" s="10">
        <v>-3</v>
      </c>
      <c r="I12" s="1">
        <v>0</v>
      </c>
      <c r="J12" s="20">
        <v>0</v>
      </c>
      <c r="K12" s="21" t="s">
        <v>62</v>
      </c>
    </row>
    <row r="13" spans="1:11" x14ac:dyDescent="0.3">
      <c r="A13" s="4">
        <v>14</v>
      </c>
      <c r="B13" s="4" t="s">
        <v>33</v>
      </c>
      <c r="C13" s="1" t="s">
        <v>54</v>
      </c>
      <c r="D13" s="1">
        <v>0.35</v>
      </c>
      <c r="E13" s="1">
        <v>0.4</v>
      </c>
      <c r="F13" s="1">
        <v>0</v>
      </c>
      <c r="G13" s="1">
        <v>0.85</v>
      </c>
      <c r="H13" s="10">
        <v>6.5</v>
      </c>
      <c r="I13" s="1">
        <v>5.5</v>
      </c>
      <c r="J13" s="20">
        <v>5.5</v>
      </c>
      <c r="K13" s="2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Tổng hợp điểm </vt:lpstr>
      <vt:lpstr>Điểm thực hành các buổi</vt:lpstr>
      <vt:lpstr>Điểm bài tập lớn</vt:lpstr>
      <vt:lpstr>Điểm Lý Thuyết </vt:lpstr>
      <vt:lpstr>Các bảng tham chiếu &amp; thống kê</vt:lpstr>
      <vt:lpstr>Sinh viên &gt; 7</vt:lpstr>
      <vt:lpstr>Sinh viên &lt; 7</vt:lpstr>
      <vt:lpstr>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ASUS-PC</dc:creator>
  <cp:lastModifiedBy>ASUS-PC</cp:lastModifiedBy>
  <dcterms:created xsi:type="dcterms:W3CDTF">2026-02-02T23:21:32Z</dcterms:created>
  <dcterms:modified xsi:type="dcterms:W3CDTF">2026-02-04T10:50:30Z</dcterms:modified>
</cp:coreProperties>
</file>